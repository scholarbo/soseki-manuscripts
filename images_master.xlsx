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fengbo/GitHub/soseki-manuscripts/"/>
    </mc:Choice>
  </mc:AlternateContent>
  <xr:revisionPtr revIDLastSave="0" documentId="13_ncr:1_{F1D2AB1D-F107-5B43-8044-0968743D5A4D}" xr6:coauthVersionLast="47" xr6:coauthVersionMax="47" xr10:uidLastSave="{00000000-0000-0000-0000-000000000000}"/>
  <bookViews>
    <workbookView xWindow="16820" yWindow="620" windowWidth="15180" windowHeight="16160" xr2:uid="{00000000-000D-0000-FFFF-FFFF00000000}"/>
  </bookViews>
  <sheets>
    <sheet name="images_master" sheetId="1" r:id="rId1"/>
    <sheet name="填写说明" sheetId="3" r:id="rId2"/>
  </sheets>
  <definedNames>
    <definedName name="image_roles">#REF!</definedName>
    <definedName name="status_list">#REF!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48" i="1" l="1"/>
  <c r="N248" i="1"/>
  <c r="M248" i="1"/>
  <c r="J248" i="1"/>
  <c r="H248" i="1"/>
  <c r="G248" i="1"/>
  <c r="F248" i="1"/>
  <c r="A248" i="1"/>
  <c r="O247" i="1"/>
  <c r="N247" i="1"/>
  <c r="M247" i="1"/>
  <c r="J247" i="1"/>
  <c r="H247" i="1"/>
  <c r="G247" i="1"/>
  <c r="F247" i="1"/>
  <c r="A247" i="1"/>
  <c r="O246" i="1"/>
  <c r="N246" i="1"/>
  <c r="M246" i="1"/>
  <c r="J246" i="1"/>
  <c r="H246" i="1"/>
  <c r="G246" i="1"/>
  <c r="F246" i="1"/>
  <c r="A246" i="1"/>
  <c r="O245" i="1"/>
  <c r="N245" i="1"/>
  <c r="M245" i="1"/>
  <c r="J245" i="1"/>
  <c r="H245" i="1"/>
  <c r="G245" i="1"/>
  <c r="F245" i="1"/>
  <c r="A245" i="1"/>
  <c r="O244" i="1"/>
  <c r="N244" i="1"/>
  <c r="M244" i="1"/>
  <c r="J244" i="1"/>
  <c r="H244" i="1"/>
  <c r="G244" i="1"/>
  <c r="F244" i="1"/>
  <c r="A244" i="1"/>
  <c r="O243" i="1"/>
  <c r="N243" i="1"/>
  <c r="M243" i="1"/>
  <c r="J243" i="1"/>
  <c r="H243" i="1"/>
  <c r="G243" i="1"/>
  <c r="F243" i="1"/>
  <c r="A243" i="1"/>
  <c r="O242" i="1"/>
  <c r="N242" i="1"/>
  <c r="M242" i="1"/>
  <c r="J242" i="1"/>
  <c r="H242" i="1"/>
  <c r="G242" i="1"/>
  <c r="F242" i="1"/>
  <c r="A242" i="1"/>
  <c r="O241" i="1"/>
  <c r="N241" i="1"/>
  <c r="M241" i="1"/>
  <c r="J241" i="1"/>
  <c r="H241" i="1"/>
  <c r="G241" i="1"/>
  <c r="F241" i="1"/>
  <c r="A241" i="1"/>
  <c r="O240" i="1"/>
  <c r="N240" i="1"/>
  <c r="M240" i="1"/>
  <c r="J240" i="1"/>
  <c r="H240" i="1"/>
  <c r="G240" i="1"/>
  <c r="F240" i="1"/>
  <c r="A240" i="1"/>
  <c r="O239" i="1"/>
  <c r="N239" i="1"/>
  <c r="M239" i="1"/>
  <c r="J239" i="1"/>
  <c r="H239" i="1"/>
  <c r="G239" i="1"/>
  <c r="F239" i="1"/>
  <c r="A239" i="1"/>
  <c r="O238" i="1"/>
  <c r="N238" i="1"/>
  <c r="M238" i="1"/>
  <c r="J238" i="1"/>
  <c r="H238" i="1"/>
  <c r="G238" i="1"/>
  <c r="F238" i="1"/>
  <c r="A238" i="1"/>
  <c r="O237" i="1"/>
  <c r="N237" i="1"/>
  <c r="M237" i="1"/>
  <c r="J237" i="1"/>
  <c r="H237" i="1"/>
  <c r="G237" i="1"/>
  <c r="F237" i="1"/>
  <c r="A237" i="1"/>
  <c r="O236" i="1"/>
  <c r="N236" i="1"/>
  <c r="M236" i="1"/>
  <c r="J236" i="1"/>
  <c r="H236" i="1"/>
  <c r="G236" i="1"/>
  <c r="F236" i="1"/>
  <c r="A236" i="1"/>
  <c r="O235" i="1"/>
  <c r="N235" i="1"/>
  <c r="M235" i="1"/>
  <c r="J235" i="1"/>
  <c r="H235" i="1"/>
  <c r="G235" i="1"/>
  <c r="F235" i="1"/>
  <c r="A235" i="1"/>
  <c r="O234" i="1"/>
  <c r="N234" i="1"/>
  <c r="M234" i="1"/>
  <c r="J234" i="1"/>
  <c r="H234" i="1"/>
  <c r="G234" i="1"/>
  <c r="F234" i="1"/>
  <c r="A234" i="1"/>
  <c r="O233" i="1"/>
  <c r="N233" i="1"/>
  <c r="M233" i="1"/>
  <c r="J233" i="1"/>
  <c r="H233" i="1"/>
  <c r="G233" i="1"/>
  <c r="F233" i="1"/>
  <c r="A233" i="1"/>
  <c r="O232" i="1"/>
  <c r="N232" i="1"/>
  <c r="M232" i="1"/>
  <c r="J232" i="1"/>
  <c r="H232" i="1"/>
  <c r="G232" i="1"/>
  <c r="F232" i="1"/>
  <c r="A232" i="1"/>
  <c r="O231" i="1"/>
  <c r="N231" i="1"/>
  <c r="M231" i="1"/>
  <c r="J231" i="1"/>
  <c r="H231" i="1"/>
  <c r="G231" i="1"/>
  <c r="F231" i="1"/>
  <c r="A231" i="1"/>
  <c r="O230" i="1"/>
  <c r="N230" i="1"/>
  <c r="M230" i="1"/>
  <c r="J230" i="1"/>
  <c r="H230" i="1"/>
  <c r="G230" i="1"/>
  <c r="F230" i="1"/>
  <c r="A230" i="1"/>
  <c r="O229" i="1"/>
  <c r="N229" i="1"/>
  <c r="M229" i="1"/>
  <c r="J229" i="1"/>
  <c r="H229" i="1"/>
  <c r="G229" i="1"/>
  <c r="F229" i="1"/>
  <c r="A229" i="1"/>
  <c r="O228" i="1"/>
  <c r="N228" i="1"/>
  <c r="M228" i="1"/>
  <c r="J228" i="1"/>
  <c r="H228" i="1"/>
  <c r="G228" i="1"/>
  <c r="F228" i="1"/>
  <c r="A228" i="1"/>
  <c r="O227" i="1"/>
  <c r="N227" i="1"/>
  <c r="M227" i="1"/>
  <c r="J227" i="1"/>
  <c r="H227" i="1"/>
  <c r="G227" i="1"/>
  <c r="F227" i="1"/>
  <c r="A227" i="1"/>
  <c r="O226" i="1"/>
  <c r="N226" i="1"/>
  <c r="M226" i="1"/>
  <c r="J226" i="1"/>
  <c r="H226" i="1"/>
  <c r="G226" i="1"/>
  <c r="F226" i="1"/>
  <c r="A226" i="1"/>
  <c r="O225" i="1"/>
  <c r="N225" i="1"/>
  <c r="M225" i="1"/>
  <c r="J225" i="1"/>
  <c r="H225" i="1"/>
  <c r="G225" i="1"/>
  <c r="F225" i="1"/>
  <c r="A225" i="1"/>
  <c r="O224" i="1"/>
  <c r="N224" i="1"/>
  <c r="M224" i="1"/>
  <c r="J224" i="1"/>
  <c r="H224" i="1"/>
  <c r="G224" i="1"/>
  <c r="F224" i="1"/>
  <c r="A224" i="1"/>
  <c r="O223" i="1"/>
  <c r="N223" i="1"/>
  <c r="M223" i="1"/>
  <c r="J223" i="1"/>
  <c r="H223" i="1"/>
  <c r="G223" i="1"/>
  <c r="F223" i="1"/>
  <c r="A223" i="1"/>
  <c r="O222" i="1"/>
  <c r="N222" i="1"/>
  <c r="M222" i="1"/>
  <c r="J222" i="1"/>
  <c r="H222" i="1"/>
  <c r="G222" i="1"/>
  <c r="F222" i="1"/>
  <c r="A222" i="1"/>
  <c r="O221" i="1"/>
  <c r="N221" i="1"/>
  <c r="M221" i="1"/>
  <c r="J221" i="1"/>
  <c r="H221" i="1"/>
  <c r="G221" i="1"/>
  <c r="F221" i="1"/>
  <c r="A221" i="1"/>
  <c r="O220" i="1"/>
  <c r="N220" i="1"/>
  <c r="M220" i="1"/>
  <c r="J220" i="1"/>
  <c r="H220" i="1"/>
  <c r="G220" i="1"/>
  <c r="F220" i="1"/>
  <c r="A220" i="1"/>
  <c r="O219" i="1"/>
  <c r="N219" i="1"/>
  <c r="M219" i="1"/>
  <c r="J219" i="1"/>
  <c r="H219" i="1"/>
  <c r="G219" i="1"/>
  <c r="F219" i="1"/>
  <c r="A219" i="1"/>
  <c r="O218" i="1"/>
  <c r="N218" i="1"/>
  <c r="M218" i="1"/>
  <c r="J218" i="1"/>
  <c r="H218" i="1"/>
  <c r="G218" i="1"/>
  <c r="F218" i="1"/>
  <c r="A218" i="1"/>
  <c r="O217" i="1"/>
  <c r="N217" i="1"/>
  <c r="M217" i="1"/>
  <c r="J217" i="1"/>
  <c r="H217" i="1"/>
  <c r="G217" i="1"/>
  <c r="F217" i="1"/>
  <c r="A217" i="1"/>
  <c r="O216" i="1"/>
  <c r="N216" i="1"/>
  <c r="M216" i="1"/>
  <c r="J216" i="1"/>
  <c r="H216" i="1"/>
  <c r="G216" i="1"/>
  <c r="F216" i="1"/>
  <c r="A216" i="1"/>
  <c r="O215" i="1"/>
  <c r="N215" i="1"/>
  <c r="M215" i="1"/>
  <c r="J215" i="1"/>
  <c r="H215" i="1"/>
  <c r="G215" i="1"/>
  <c r="F215" i="1"/>
  <c r="A215" i="1"/>
  <c r="O214" i="1"/>
  <c r="N214" i="1"/>
  <c r="M214" i="1"/>
  <c r="J214" i="1"/>
  <c r="H214" i="1"/>
  <c r="G214" i="1"/>
  <c r="F214" i="1"/>
  <c r="A214" i="1"/>
  <c r="O213" i="1"/>
  <c r="N213" i="1"/>
  <c r="M213" i="1"/>
  <c r="J213" i="1"/>
  <c r="H213" i="1"/>
  <c r="G213" i="1"/>
  <c r="F213" i="1"/>
  <c r="A213" i="1"/>
  <c r="O212" i="1"/>
  <c r="N212" i="1"/>
  <c r="M212" i="1"/>
  <c r="J212" i="1"/>
  <c r="H212" i="1"/>
  <c r="G212" i="1"/>
  <c r="F212" i="1"/>
  <c r="A212" i="1"/>
  <c r="O211" i="1"/>
  <c r="N211" i="1"/>
  <c r="M211" i="1"/>
  <c r="J211" i="1"/>
  <c r="H211" i="1"/>
  <c r="G211" i="1"/>
  <c r="F211" i="1"/>
  <c r="A211" i="1"/>
  <c r="O210" i="1"/>
  <c r="N210" i="1"/>
  <c r="M210" i="1"/>
  <c r="J210" i="1"/>
  <c r="H210" i="1"/>
  <c r="G210" i="1"/>
  <c r="F210" i="1"/>
  <c r="A210" i="1"/>
  <c r="O209" i="1"/>
  <c r="N209" i="1"/>
  <c r="M209" i="1"/>
  <c r="J209" i="1"/>
  <c r="H209" i="1"/>
  <c r="G209" i="1"/>
  <c r="F209" i="1"/>
  <c r="A209" i="1"/>
  <c r="O208" i="1"/>
  <c r="N208" i="1"/>
  <c r="M208" i="1"/>
  <c r="J208" i="1"/>
  <c r="H208" i="1"/>
  <c r="G208" i="1"/>
  <c r="F208" i="1"/>
  <c r="A208" i="1"/>
  <c r="O207" i="1"/>
  <c r="N207" i="1"/>
  <c r="M207" i="1"/>
  <c r="J207" i="1"/>
  <c r="H207" i="1"/>
  <c r="G207" i="1"/>
  <c r="F207" i="1"/>
  <c r="A207" i="1"/>
  <c r="O206" i="1"/>
  <c r="N206" i="1"/>
  <c r="M206" i="1"/>
  <c r="J206" i="1"/>
  <c r="H206" i="1"/>
  <c r="G206" i="1"/>
  <c r="F206" i="1"/>
  <c r="A206" i="1"/>
  <c r="O205" i="1"/>
  <c r="N205" i="1"/>
  <c r="M205" i="1"/>
  <c r="J205" i="1"/>
  <c r="H205" i="1"/>
  <c r="G205" i="1"/>
  <c r="F205" i="1"/>
  <c r="A205" i="1"/>
  <c r="O204" i="1"/>
  <c r="N204" i="1"/>
  <c r="M204" i="1"/>
  <c r="J204" i="1"/>
  <c r="H204" i="1"/>
  <c r="G204" i="1"/>
  <c r="F204" i="1"/>
  <c r="A204" i="1"/>
  <c r="O203" i="1"/>
  <c r="N203" i="1"/>
  <c r="M203" i="1"/>
  <c r="J203" i="1"/>
  <c r="H203" i="1"/>
  <c r="G203" i="1"/>
  <c r="F203" i="1"/>
  <c r="A203" i="1"/>
  <c r="O202" i="1"/>
  <c r="N202" i="1"/>
  <c r="M202" i="1"/>
  <c r="J202" i="1"/>
  <c r="H202" i="1"/>
  <c r="G202" i="1"/>
  <c r="F202" i="1"/>
  <c r="A202" i="1"/>
  <c r="O201" i="1"/>
  <c r="N201" i="1"/>
  <c r="M201" i="1"/>
  <c r="J201" i="1"/>
  <c r="H201" i="1"/>
  <c r="G201" i="1"/>
  <c r="F201" i="1"/>
  <c r="A201" i="1"/>
  <c r="O200" i="1"/>
  <c r="N200" i="1"/>
  <c r="M200" i="1"/>
  <c r="J200" i="1"/>
  <c r="H200" i="1"/>
  <c r="G200" i="1"/>
  <c r="F200" i="1"/>
  <c r="A200" i="1"/>
  <c r="O199" i="1"/>
  <c r="N199" i="1"/>
  <c r="M199" i="1"/>
  <c r="J199" i="1"/>
  <c r="H199" i="1"/>
  <c r="G199" i="1"/>
  <c r="F199" i="1"/>
  <c r="A199" i="1"/>
  <c r="O198" i="1"/>
  <c r="N198" i="1"/>
  <c r="M198" i="1"/>
  <c r="J198" i="1"/>
  <c r="H198" i="1"/>
  <c r="G198" i="1"/>
  <c r="F198" i="1"/>
  <c r="A198" i="1"/>
  <c r="O197" i="1"/>
  <c r="N197" i="1"/>
  <c r="M197" i="1"/>
  <c r="J197" i="1"/>
  <c r="H197" i="1"/>
  <c r="G197" i="1"/>
  <c r="F197" i="1"/>
  <c r="A197" i="1"/>
  <c r="O196" i="1"/>
  <c r="N196" i="1"/>
  <c r="M196" i="1"/>
  <c r="J196" i="1"/>
  <c r="H196" i="1"/>
  <c r="G196" i="1"/>
  <c r="F196" i="1"/>
  <c r="A196" i="1"/>
  <c r="O195" i="1"/>
  <c r="N195" i="1"/>
  <c r="M195" i="1"/>
  <c r="J195" i="1"/>
  <c r="H195" i="1"/>
  <c r="G195" i="1"/>
  <c r="F195" i="1"/>
  <c r="A195" i="1"/>
  <c r="O194" i="1"/>
  <c r="N194" i="1"/>
  <c r="M194" i="1"/>
  <c r="J194" i="1"/>
  <c r="H194" i="1"/>
  <c r="G194" i="1"/>
  <c r="F194" i="1"/>
  <c r="A194" i="1"/>
  <c r="O193" i="1"/>
  <c r="N193" i="1"/>
  <c r="M193" i="1"/>
  <c r="J193" i="1"/>
  <c r="H193" i="1"/>
  <c r="G193" i="1"/>
  <c r="F193" i="1"/>
  <c r="A193" i="1"/>
  <c r="O192" i="1"/>
  <c r="N192" i="1"/>
  <c r="M192" i="1"/>
  <c r="J192" i="1"/>
  <c r="H192" i="1"/>
  <c r="G192" i="1"/>
  <c r="F192" i="1"/>
  <c r="A192" i="1"/>
  <c r="O191" i="1"/>
  <c r="N191" i="1"/>
  <c r="M191" i="1"/>
  <c r="J191" i="1"/>
  <c r="H191" i="1"/>
  <c r="G191" i="1"/>
  <c r="F191" i="1"/>
  <c r="A191" i="1"/>
  <c r="O190" i="1"/>
  <c r="N190" i="1"/>
  <c r="M190" i="1"/>
  <c r="J190" i="1"/>
  <c r="H190" i="1"/>
  <c r="G190" i="1"/>
  <c r="F190" i="1"/>
  <c r="A190" i="1"/>
  <c r="O189" i="1"/>
  <c r="N189" i="1"/>
  <c r="M189" i="1"/>
  <c r="J189" i="1"/>
  <c r="H189" i="1"/>
  <c r="G189" i="1"/>
  <c r="F189" i="1"/>
  <c r="A189" i="1"/>
  <c r="O188" i="1"/>
  <c r="N188" i="1"/>
  <c r="M188" i="1"/>
  <c r="J188" i="1"/>
  <c r="H188" i="1"/>
  <c r="G188" i="1"/>
  <c r="F188" i="1"/>
  <c r="A188" i="1"/>
  <c r="O187" i="1"/>
  <c r="N187" i="1"/>
  <c r="M187" i="1"/>
  <c r="J187" i="1"/>
  <c r="H187" i="1"/>
  <c r="G187" i="1"/>
  <c r="F187" i="1"/>
  <c r="A187" i="1"/>
  <c r="O186" i="1"/>
  <c r="N186" i="1"/>
  <c r="M186" i="1"/>
  <c r="J186" i="1"/>
  <c r="H186" i="1"/>
  <c r="G186" i="1"/>
  <c r="F186" i="1"/>
  <c r="A186" i="1"/>
  <c r="O185" i="1"/>
  <c r="N185" i="1"/>
  <c r="M185" i="1"/>
  <c r="J185" i="1"/>
  <c r="H185" i="1"/>
  <c r="G185" i="1"/>
  <c r="F185" i="1"/>
  <c r="A185" i="1"/>
  <c r="O184" i="1"/>
  <c r="N184" i="1"/>
  <c r="M184" i="1"/>
  <c r="J184" i="1"/>
  <c r="H184" i="1"/>
  <c r="G184" i="1"/>
  <c r="F184" i="1"/>
  <c r="A184" i="1"/>
  <c r="O183" i="1"/>
  <c r="N183" i="1"/>
  <c r="M183" i="1"/>
  <c r="J183" i="1"/>
  <c r="H183" i="1"/>
  <c r="G183" i="1"/>
  <c r="F183" i="1"/>
  <c r="A183" i="1"/>
  <c r="O182" i="1"/>
  <c r="N182" i="1"/>
  <c r="M182" i="1"/>
  <c r="J182" i="1"/>
  <c r="H182" i="1"/>
  <c r="G182" i="1"/>
  <c r="F182" i="1"/>
  <c r="A182" i="1"/>
  <c r="O181" i="1"/>
  <c r="N181" i="1"/>
  <c r="M181" i="1"/>
  <c r="J181" i="1"/>
  <c r="H181" i="1"/>
  <c r="G181" i="1"/>
  <c r="F181" i="1"/>
  <c r="A181" i="1"/>
  <c r="O180" i="1"/>
  <c r="N180" i="1"/>
  <c r="M180" i="1"/>
  <c r="J180" i="1"/>
  <c r="H180" i="1"/>
  <c r="G180" i="1"/>
  <c r="F180" i="1"/>
  <c r="A180" i="1"/>
  <c r="O179" i="1"/>
  <c r="N179" i="1"/>
  <c r="M179" i="1"/>
  <c r="J179" i="1"/>
  <c r="H179" i="1"/>
  <c r="G179" i="1"/>
  <c r="F179" i="1"/>
  <c r="A179" i="1"/>
  <c r="O178" i="1"/>
  <c r="N178" i="1"/>
  <c r="M178" i="1"/>
  <c r="J178" i="1"/>
  <c r="H178" i="1"/>
  <c r="G178" i="1"/>
  <c r="F178" i="1"/>
  <c r="A178" i="1"/>
  <c r="O177" i="1"/>
  <c r="N177" i="1"/>
  <c r="M177" i="1"/>
  <c r="J177" i="1"/>
  <c r="H177" i="1"/>
  <c r="G177" i="1"/>
  <c r="F177" i="1"/>
  <c r="A177" i="1"/>
  <c r="O176" i="1"/>
  <c r="N176" i="1"/>
  <c r="M176" i="1"/>
  <c r="J176" i="1"/>
  <c r="H176" i="1"/>
  <c r="G176" i="1"/>
  <c r="F176" i="1"/>
  <c r="A176" i="1"/>
  <c r="O175" i="1"/>
  <c r="N175" i="1"/>
  <c r="M175" i="1"/>
  <c r="J175" i="1"/>
  <c r="H175" i="1"/>
  <c r="G175" i="1"/>
  <c r="F175" i="1"/>
  <c r="A175" i="1"/>
  <c r="O174" i="1"/>
  <c r="N174" i="1"/>
  <c r="M174" i="1"/>
  <c r="J174" i="1"/>
  <c r="H174" i="1"/>
  <c r="G174" i="1"/>
  <c r="F174" i="1"/>
  <c r="A174" i="1"/>
  <c r="O173" i="1"/>
  <c r="N173" i="1"/>
  <c r="M173" i="1"/>
  <c r="J173" i="1"/>
  <c r="H173" i="1"/>
  <c r="G173" i="1"/>
  <c r="F173" i="1"/>
  <c r="A173" i="1"/>
  <c r="O172" i="1"/>
  <c r="N172" i="1"/>
  <c r="M172" i="1"/>
  <c r="J172" i="1"/>
  <c r="H172" i="1"/>
  <c r="G172" i="1"/>
  <c r="F172" i="1"/>
  <c r="A172" i="1"/>
  <c r="O171" i="1"/>
  <c r="N171" i="1"/>
  <c r="M171" i="1"/>
  <c r="J171" i="1"/>
  <c r="H171" i="1"/>
  <c r="G171" i="1"/>
  <c r="F171" i="1"/>
  <c r="A171" i="1"/>
  <c r="O170" i="1"/>
  <c r="N170" i="1"/>
  <c r="M170" i="1"/>
  <c r="J170" i="1"/>
  <c r="H170" i="1"/>
  <c r="G170" i="1"/>
  <c r="F170" i="1"/>
  <c r="A170" i="1"/>
  <c r="O169" i="1"/>
  <c r="N169" i="1"/>
  <c r="M169" i="1"/>
  <c r="J169" i="1"/>
  <c r="H169" i="1"/>
  <c r="G169" i="1"/>
  <c r="F169" i="1"/>
  <c r="A169" i="1"/>
  <c r="O168" i="1"/>
  <c r="N168" i="1"/>
  <c r="M168" i="1"/>
  <c r="J168" i="1"/>
  <c r="H168" i="1"/>
  <c r="G168" i="1"/>
  <c r="F168" i="1"/>
  <c r="A168" i="1"/>
  <c r="O167" i="1"/>
  <c r="N167" i="1"/>
  <c r="M167" i="1"/>
  <c r="J167" i="1"/>
  <c r="H167" i="1"/>
  <c r="G167" i="1"/>
  <c r="F167" i="1"/>
  <c r="A167" i="1"/>
  <c r="O166" i="1"/>
  <c r="N166" i="1"/>
  <c r="M166" i="1"/>
  <c r="J166" i="1"/>
  <c r="H166" i="1"/>
  <c r="G166" i="1"/>
  <c r="F166" i="1"/>
  <c r="A166" i="1"/>
  <c r="O165" i="1"/>
  <c r="N165" i="1"/>
  <c r="M165" i="1"/>
  <c r="J165" i="1"/>
  <c r="H165" i="1"/>
  <c r="G165" i="1"/>
  <c r="F165" i="1"/>
  <c r="A165" i="1"/>
  <c r="O164" i="1"/>
  <c r="N164" i="1"/>
  <c r="M164" i="1"/>
  <c r="J164" i="1"/>
  <c r="H164" i="1"/>
  <c r="G164" i="1"/>
  <c r="F164" i="1"/>
  <c r="A164" i="1"/>
  <c r="O163" i="1"/>
  <c r="N163" i="1"/>
  <c r="M163" i="1"/>
  <c r="J163" i="1"/>
  <c r="H163" i="1"/>
  <c r="G163" i="1"/>
  <c r="F163" i="1"/>
  <c r="A163" i="1"/>
  <c r="O162" i="1"/>
  <c r="N162" i="1"/>
  <c r="M162" i="1"/>
  <c r="J162" i="1"/>
  <c r="H162" i="1"/>
  <c r="G162" i="1"/>
  <c r="F162" i="1"/>
  <c r="A162" i="1"/>
  <c r="O161" i="1"/>
  <c r="N161" i="1"/>
  <c r="M161" i="1"/>
  <c r="J161" i="1"/>
  <c r="H161" i="1"/>
  <c r="G161" i="1"/>
  <c r="F161" i="1"/>
  <c r="A161" i="1"/>
  <c r="O160" i="1"/>
  <c r="N160" i="1"/>
  <c r="M160" i="1"/>
  <c r="J160" i="1"/>
  <c r="H160" i="1"/>
  <c r="G160" i="1"/>
  <c r="F160" i="1"/>
  <c r="A160" i="1"/>
  <c r="O159" i="1"/>
  <c r="N159" i="1"/>
  <c r="M159" i="1"/>
  <c r="J159" i="1"/>
  <c r="H159" i="1"/>
  <c r="G159" i="1"/>
  <c r="F159" i="1"/>
  <c r="A159" i="1"/>
  <c r="O158" i="1"/>
  <c r="N158" i="1"/>
  <c r="M158" i="1"/>
  <c r="J158" i="1"/>
  <c r="H158" i="1"/>
  <c r="G158" i="1"/>
  <c r="F158" i="1"/>
  <c r="A158" i="1"/>
  <c r="O157" i="1"/>
  <c r="N157" i="1"/>
  <c r="M157" i="1"/>
  <c r="J157" i="1"/>
  <c r="H157" i="1"/>
  <c r="G157" i="1"/>
  <c r="F157" i="1"/>
  <c r="A157" i="1"/>
  <c r="O156" i="1"/>
  <c r="N156" i="1"/>
  <c r="M156" i="1"/>
  <c r="J156" i="1"/>
  <c r="H156" i="1"/>
  <c r="G156" i="1"/>
  <c r="F156" i="1"/>
  <c r="A156" i="1"/>
  <c r="O155" i="1"/>
  <c r="N155" i="1"/>
  <c r="M155" i="1"/>
  <c r="J155" i="1"/>
  <c r="H155" i="1"/>
  <c r="G155" i="1"/>
  <c r="F155" i="1"/>
  <c r="A155" i="1"/>
  <c r="O154" i="1"/>
  <c r="N154" i="1"/>
  <c r="M154" i="1"/>
  <c r="J154" i="1"/>
  <c r="H154" i="1"/>
  <c r="G154" i="1"/>
  <c r="F154" i="1"/>
  <c r="A154" i="1"/>
  <c r="O153" i="1"/>
  <c r="N153" i="1"/>
  <c r="M153" i="1"/>
  <c r="J153" i="1"/>
  <c r="H153" i="1"/>
  <c r="G153" i="1"/>
  <c r="F153" i="1"/>
  <c r="A153" i="1"/>
  <c r="O152" i="1"/>
  <c r="N152" i="1"/>
  <c r="M152" i="1"/>
  <c r="J152" i="1"/>
  <c r="H152" i="1"/>
  <c r="G152" i="1"/>
  <c r="F152" i="1"/>
  <c r="A152" i="1"/>
  <c r="O151" i="1"/>
  <c r="N151" i="1"/>
  <c r="M151" i="1"/>
  <c r="J151" i="1"/>
  <c r="H151" i="1"/>
  <c r="G151" i="1"/>
  <c r="F151" i="1"/>
  <c r="A151" i="1"/>
  <c r="O150" i="1"/>
  <c r="N150" i="1"/>
  <c r="M150" i="1"/>
  <c r="J150" i="1"/>
  <c r="H150" i="1"/>
  <c r="G150" i="1"/>
  <c r="F150" i="1"/>
  <c r="A150" i="1"/>
  <c r="O149" i="1"/>
  <c r="N149" i="1"/>
  <c r="M149" i="1"/>
  <c r="J149" i="1"/>
  <c r="H149" i="1"/>
  <c r="G149" i="1"/>
  <c r="F149" i="1"/>
  <c r="A149" i="1"/>
  <c r="O148" i="1"/>
  <c r="N148" i="1"/>
  <c r="M148" i="1"/>
  <c r="J148" i="1"/>
  <c r="H148" i="1"/>
  <c r="G148" i="1"/>
  <c r="F148" i="1"/>
  <c r="A148" i="1"/>
  <c r="O147" i="1"/>
  <c r="N147" i="1"/>
  <c r="M147" i="1"/>
  <c r="J147" i="1"/>
  <c r="H147" i="1"/>
  <c r="G147" i="1"/>
  <c r="F147" i="1"/>
  <c r="A147" i="1"/>
  <c r="O146" i="1"/>
  <c r="N146" i="1"/>
  <c r="M146" i="1"/>
  <c r="J146" i="1"/>
  <c r="H146" i="1"/>
  <c r="G146" i="1"/>
  <c r="F146" i="1"/>
  <c r="A146" i="1"/>
  <c r="O145" i="1"/>
  <c r="N145" i="1"/>
  <c r="M145" i="1"/>
  <c r="J145" i="1"/>
  <c r="H145" i="1"/>
  <c r="G145" i="1"/>
  <c r="F145" i="1"/>
  <c r="A145" i="1"/>
  <c r="O144" i="1"/>
  <c r="N144" i="1"/>
  <c r="M144" i="1"/>
  <c r="J144" i="1"/>
  <c r="H144" i="1"/>
  <c r="G144" i="1"/>
  <c r="F144" i="1"/>
  <c r="A144" i="1"/>
  <c r="O143" i="1"/>
  <c r="N143" i="1"/>
  <c r="M143" i="1"/>
  <c r="J143" i="1"/>
  <c r="H143" i="1"/>
  <c r="G143" i="1"/>
  <c r="F143" i="1"/>
  <c r="A143" i="1"/>
  <c r="O142" i="1"/>
  <c r="N142" i="1"/>
  <c r="M142" i="1"/>
  <c r="J142" i="1"/>
  <c r="H142" i="1"/>
  <c r="G142" i="1"/>
  <c r="F142" i="1"/>
  <c r="A142" i="1"/>
  <c r="O141" i="1"/>
  <c r="N141" i="1"/>
  <c r="M141" i="1"/>
  <c r="J141" i="1"/>
  <c r="H141" i="1"/>
  <c r="G141" i="1"/>
  <c r="F141" i="1"/>
  <c r="A141" i="1"/>
  <c r="O140" i="1"/>
  <c r="N140" i="1"/>
  <c r="M140" i="1"/>
  <c r="J140" i="1"/>
  <c r="H140" i="1"/>
  <c r="G140" i="1"/>
  <c r="F140" i="1"/>
  <c r="A140" i="1"/>
  <c r="O139" i="1"/>
  <c r="N139" i="1"/>
  <c r="M139" i="1"/>
  <c r="J139" i="1"/>
  <c r="H139" i="1"/>
  <c r="G139" i="1"/>
  <c r="F139" i="1"/>
  <c r="A139" i="1"/>
  <c r="O138" i="1"/>
  <c r="N138" i="1"/>
  <c r="M138" i="1"/>
  <c r="J138" i="1"/>
  <c r="H138" i="1"/>
  <c r="G138" i="1"/>
  <c r="F138" i="1"/>
  <c r="A138" i="1"/>
  <c r="O137" i="1"/>
  <c r="N137" i="1"/>
  <c r="M137" i="1"/>
  <c r="J137" i="1"/>
  <c r="H137" i="1"/>
  <c r="G137" i="1"/>
  <c r="F137" i="1"/>
  <c r="A137" i="1"/>
  <c r="O136" i="1"/>
  <c r="N136" i="1"/>
  <c r="M136" i="1"/>
  <c r="J136" i="1"/>
  <c r="H136" i="1"/>
  <c r="G136" i="1"/>
  <c r="F136" i="1"/>
  <c r="A136" i="1"/>
  <c r="O135" i="1"/>
  <c r="N135" i="1"/>
  <c r="M135" i="1"/>
  <c r="J135" i="1"/>
  <c r="H135" i="1"/>
  <c r="G135" i="1"/>
  <c r="F135" i="1"/>
  <c r="A135" i="1"/>
  <c r="O134" i="1"/>
  <c r="N134" i="1"/>
  <c r="M134" i="1"/>
  <c r="J134" i="1"/>
  <c r="H134" i="1"/>
  <c r="G134" i="1"/>
  <c r="F134" i="1"/>
  <c r="A134" i="1"/>
  <c r="O133" i="1"/>
  <c r="N133" i="1"/>
  <c r="M133" i="1"/>
  <c r="J133" i="1"/>
  <c r="H133" i="1"/>
  <c r="G133" i="1"/>
  <c r="F133" i="1"/>
  <c r="A133" i="1"/>
  <c r="O132" i="1"/>
  <c r="N132" i="1"/>
  <c r="M132" i="1"/>
  <c r="J132" i="1"/>
  <c r="H132" i="1"/>
  <c r="G132" i="1"/>
  <c r="F132" i="1"/>
  <c r="A132" i="1"/>
  <c r="O131" i="1"/>
  <c r="N131" i="1"/>
  <c r="M131" i="1"/>
  <c r="J131" i="1"/>
  <c r="H131" i="1"/>
  <c r="G131" i="1"/>
  <c r="F131" i="1"/>
  <c r="A131" i="1"/>
  <c r="O130" i="1"/>
  <c r="N130" i="1"/>
  <c r="M130" i="1"/>
  <c r="J130" i="1"/>
  <c r="H130" i="1"/>
  <c r="G130" i="1"/>
  <c r="F130" i="1"/>
  <c r="A130" i="1"/>
  <c r="O129" i="1"/>
  <c r="N129" i="1"/>
  <c r="M129" i="1"/>
  <c r="J129" i="1"/>
  <c r="H129" i="1"/>
  <c r="G129" i="1"/>
  <c r="F129" i="1"/>
  <c r="A129" i="1"/>
  <c r="O128" i="1"/>
  <c r="N128" i="1"/>
  <c r="M128" i="1"/>
  <c r="J128" i="1"/>
  <c r="H128" i="1"/>
  <c r="G128" i="1"/>
  <c r="F128" i="1"/>
  <c r="A128" i="1"/>
  <c r="O127" i="1"/>
  <c r="N127" i="1"/>
  <c r="M127" i="1"/>
  <c r="J127" i="1"/>
  <c r="H127" i="1"/>
  <c r="G127" i="1"/>
  <c r="F127" i="1"/>
  <c r="A127" i="1"/>
  <c r="O126" i="1"/>
  <c r="N126" i="1"/>
  <c r="M126" i="1"/>
  <c r="J126" i="1"/>
  <c r="H126" i="1"/>
  <c r="G126" i="1"/>
  <c r="F126" i="1"/>
  <c r="A126" i="1"/>
  <c r="O125" i="1"/>
  <c r="N125" i="1"/>
  <c r="M125" i="1"/>
  <c r="J125" i="1"/>
  <c r="H125" i="1"/>
  <c r="G125" i="1"/>
  <c r="F125" i="1"/>
  <c r="A125" i="1"/>
  <c r="O124" i="1"/>
  <c r="N124" i="1"/>
  <c r="M124" i="1"/>
  <c r="J124" i="1"/>
  <c r="H124" i="1"/>
  <c r="G124" i="1"/>
  <c r="F124" i="1"/>
  <c r="A124" i="1"/>
  <c r="O123" i="1"/>
  <c r="N123" i="1"/>
  <c r="M123" i="1"/>
  <c r="J123" i="1"/>
  <c r="H123" i="1"/>
  <c r="G123" i="1"/>
  <c r="F123" i="1"/>
  <c r="A123" i="1"/>
  <c r="O122" i="1"/>
  <c r="N122" i="1"/>
  <c r="M122" i="1"/>
  <c r="J122" i="1"/>
  <c r="H122" i="1"/>
  <c r="G122" i="1"/>
  <c r="F122" i="1"/>
  <c r="A122" i="1"/>
  <c r="O121" i="1"/>
  <c r="N121" i="1"/>
  <c r="M121" i="1"/>
  <c r="J121" i="1"/>
  <c r="H121" i="1"/>
  <c r="G121" i="1"/>
  <c r="F121" i="1"/>
  <c r="A121" i="1"/>
  <c r="O120" i="1"/>
  <c r="N120" i="1"/>
  <c r="M120" i="1"/>
  <c r="J120" i="1"/>
  <c r="H120" i="1"/>
  <c r="G120" i="1"/>
  <c r="F120" i="1"/>
  <c r="A120" i="1"/>
  <c r="O119" i="1"/>
  <c r="N119" i="1"/>
  <c r="M119" i="1"/>
  <c r="J119" i="1"/>
  <c r="H119" i="1"/>
  <c r="G119" i="1"/>
  <c r="F119" i="1"/>
  <c r="A119" i="1"/>
  <c r="O118" i="1"/>
  <c r="N118" i="1"/>
  <c r="M118" i="1"/>
  <c r="J118" i="1"/>
  <c r="H118" i="1"/>
  <c r="G118" i="1"/>
  <c r="F118" i="1"/>
  <c r="A118" i="1"/>
  <c r="O117" i="1"/>
  <c r="N117" i="1"/>
  <c r="M117" i="1"/>
  <c r="J117" i="1"/>
  <c r="H117" i="1"/>
  <c r="G117" i="1"/>
  <c r="F117" i="1"/>
  <c r="A117" i="1"/>
  <c r="O116" i="1"/>
  <c r="N116" i="1"/>
  <c r="M116" i="1"/>
  <c r="J116" i="1"/>
  <c r="H116" i="1"/>
  <c r="G116" i="1"/>
  <c r="F116" i="1"/>
  <c r="A116" i="1"/>
  <c r="O115" i="1"/>
  <c r="N115" i="1"/>
  <c r="M115" i="1"/>
  <c r="J115" i="1"/>
  <c r="H115" i="1"/>
  <c r="G115" i="1"/>
  <c r="F115" i="1"/>
  <c r="A115" i="1"/>
  <c r="O114" i="1"/>
  <c r="N114" i="1"/>
  <c r="M114" i="1"/>
  <c r="J114" i="1"/>
  <c r="H114" i="1"/>
  <c r="G114" i="1"/>
  <c r="F114" i="1"/>
  <c r="A114" i="1"/>
  <c r="O113" i="1"/>
  <c r="N113" i="1"/>
  <c r="M113" i="1"/>
  <c r="J113" i="1"/>
  <c r="H113" i="1"/>
  <c r="G113" i="1"/>
  <c r="F113" i="1"/>
  <c r="A113" i="1"/>
  <c r="O112" i="1"/>
  <c r="N112" i="1"/>
  <c r="M112" i="1"/>
  <c r="J112" i="1"/>
  <c r="H112" i="1"/>
  <c r="G112" i="1"/>
  <c r="F112" i="1"/>
  <c r="A112" i="1"/>
  <c r="O111" i="1"/>
  <c r="N111" i="1"/>
  <c r="M111" i="1"/>
  <c r="J111" i="1"/>
  <c r="H111" i="1"/>
  <c r="G111" i="1"/>
  <c r="F111" i="1"/>
  <c r="A111" i="1"/>
  <c r="O110" i="1"/>
  <c r="N110" i="1"/>
  <c r="M110" i="1"/>
  <c r="J110" i="1"/>
  <c r="H110" i="1"/>
  <c r="G110" i="1"/>
  <c r="F110" i="1"/>
  <c r="A110" i="1"/>
  <c r="O109" i="1"/>
  <c r="N109" i="1"/>
  <c r="M109" i="1"/>
  <c r="J109" i="1"/>
  <c r="H109" i="1"/>
  <c r="G109" i="1"/>
  <c r="F109" i="1"/>
  <c r="A109" i="1"/>
  <c r="O108" i="1"/>
  <c r="N108" i="1"/>
  <c r="M108" i="1"/>
  <c r="J108" i="1"/>
  <c r="H108" i="1"/>
  <c r="G108" i="1"/>
  <c r="F108" i="1"/>
  <c r="A108" i="1"/>
  <c r="O107" i="1"/>
  <c r="N107" i="1"/>
  <c r="M107" i="1"/>
  <c r="J107" i="1"/>
  <c r="H107" i="1"/>
  <c r="G107" i="1"/>
  <c r="F107" i="1"/>
  <c r="A107" i="1"/>
  <c r="O106" i="1"/>
  <c r="N106" i="1"/>
  <c r="M106" i="1"/>
  <c r="J106" i="1"/>
  <c r="H106" i="1"/>
  <c r="G106" i="1"/>
  <c r="F106" i="1"/>
  <c r="A106" i="1"/>
  <c r="O105" i="1"/>
  <c r="N105" i="1"/>
  <c r="M105" i="1"/>
  <c r="J105" i="1"/>
  <c r="H105" i="1"/>
  <c r="G105" i="1"/>
  <c r="F105" i="1"/>
  <c r="A105" i="1"/>
  <c r="O104" i="1"/>
  <c r="N104" i="1"/>
  <c r="M104" i="1"/>
  <c r="J104" i="1"/>
  <c r="H104" i="1"/>
  <c r="G104" i="1"/>
  <c r="F104" i="1"/>
  <c r="A104" i="1"/>
  <c r="O103" i="1"/>
  <c r="N103" i="1"/>
  <c r="M103" i="1"/>
  <c r="J103" i="1"/>
  <c r="H103" i="1"/>
  <c r="G103" i="1"/>
  <c r="F103" i="1"/>
  <c r="A103" i="1"/>
  <c r="O102" i="1"/>
  <c r="N102" i="1"/>
  <c r="M102" i="1"/>
  <c r="J102" i="1"/>
  <c r="H102" i="1"/>
  <c r="G102" i="1"/>
  <c r="F102" i="1"/>
  <c r="A102" i="1"/>
  <c r="O101" i="1"/>
  <c r="N101" i="1"/>
  <c r="M101" i="1"/>
  <c r="J101" i="1"/>
  <c r="H101" i="1"/>
  <c r="G101" i="1"/>
  <c r="F101" i="1"/>
  <c r="A101" i="1"/>
  <c r="O100" i="1"/>
  <c r="N100" i="1"/>
  <c r="M100" i="1"/>
  <c r="J100" i="1"/>
  <c r="H100" i="1"/>
  <c r="G100" i="1"/>
  <c r="F100" i="1"/>
  <c r="A100" i="1"/>
  <c r="O99" i="1"/>
  <c r="N99" i="1"/>
  <c r="M99" i="1"/>
  <c r="J99" i="1"/>
  <c r="H99" i="1"/>
  <c r="G99" i="1"/>
  <c r="F99" i="1"/>
  <c r="A99" i="1"/>
  <c r="O98" i="1"/>
  <c r="N98" i="1"/>
  <c r="M98" i="1"/>
  <c r="J98" i="1"/>
  <c r="H98" i="1"/>
  <c r="G98" i="1"/>
  <c r="F98" i="1"/>
  <c r="A98" i="1"/>
  <c r="O97" i="1"/>
  <c r="N97" i="1"/>
  <c r="M97" i="1"/>
  <c r="J97" i="1"/>
  <c r="H97" i="1"/>
  <c r="G97" i="1"/>
  <c r="F97" i="1"/>
  <c r="A97" i="1"/>
  <c r="O96" i="1"/>
  <c r="N96" i="1"/>
  <c r="M96" i="1"/>
  <c r="J96" i="1"/>
  <c r="H96" i="1"/>
  <c r="G96" i="1"/>
  <c r="F96" i="1"/>
  <c r="A96" i="1"/>
  <c r="O95" i="1"/>
  <c r="N95" i="1"/>
  <c r="M95" i="1"/>
  <c r="J95" i="1"/>
  <c r="H95" i="1"/>
  <c r="G95" i="1"/>
  <c r="F95" i="1"/>
  <c r="A95" i="1"/>
  <c r="O94" i="1"/>
  <c r="N94" i="1"/>
  <c r="M94" i="1"/>
  <c r="J94" i="1"/>
  <c r="H94" i="1"/>
  <c r="G94" i="1"/>
  <c r="F94" i="1"/>
  <c r="A94" i="1"/>
  <c r="O93" i="1"/>
  <c r="N93" i="1"/>
  <c r="M93" i="1"/>
  <c r="J93" i="1"/>
  <c r="H93" i="1"/>
  <c r="G93" i="1"/>
  <c r="F93" i="1"/>
  <c r="A93" i="1"/>
  <c r="O92" i="1"/>
  <c r="N92" i="1"/>
  <c r="M92" i="1"/>
  <c r="J92" i="1"/>
  <c r="H92" i="1"/>
  <c r="G92" i="1"/>
  <c r="F92" i="1"/>
  <c r="A92" i="1"/>
  <c r="O91" i="1"/>
  <c r="N91" i="1"/>
  <c r="M91" i="1"/>
  <c r="J91" i="1"/>
  <c r="H91" i="1"/>
  <c r="G91" i="1"/>
  <c r="F91" i="1"/>
  <c r="A91" i="1"/>
  <c r="O90" i="1"/>
  <c r="N90" i="1"/>
  <c r="M90" i="1"/>
  <c r="J90" i="1"/>
  <c r="H90" i="1"/>
  <c r="G90" i="1"/>
  <c r="F90" i="1"/>
  <c r="A90" i="1"/>
  <c r="O89" i="1"/>
  <c r="N89" i="1"/>
  <c r="M89" i="1"/>
  <c r="J89" i="1"/>
  <c r="H89" i="1"/>
  <c r="G89" i="1"/>
  <c r="F89" i="1"/>
  <c r="A89" i="1"/>
  <c r="O88" i="1"/>
  <c r="N88" i="1"/>
  <c r="M88" i="1"/>
  <c r="J88" i="1"/>
  <c r="H88" i="1"/>
  <c r="G88" i="1"/>
  <c r="F88" i="1"/>
  <c r="A88" i="1"/>
  <c r="O87" i="1"/>
  <c r="N87" i="1"/>
  <c r="M87" i="1"/>
  <c r="J87" i="1"/>
  <c r="H87" i="1"/>
  <c r="G87" i="1"/>
  <c r="F87" i="1"/>
  <c r="A87" i="1"/>
  <c r="O86" i="1"/>
  <c r="N86" i="1"/>
  <c r="M86" i="1"/>
  <c r="J86" i="1"/>
  <c r="H86" i="1"/>
  <c r="G86" i="1"/>
  <c r="F86" i="1"/>
  <c r="A86" i="1"/>
  <c r="O85" i="1"/>
  <c r="N85" i="1"/>
  <c r="M85" i="1"/>
  <c r="J85" i="1"/>
  <c r="H85" i="1"/>
  <c r="G85" i="1"/>
  <c r="F85" i="1"/>
  <c r="A85" i="1"/>
  <c r="O84" i="1"/>
  <c r="N84" i="1"/>
  <c r="M84" i="1"/>
  <c r="J84" i="1"/>
  <c r="H84" i="1"/>
  <c r="G84" i="1"/>
  <c r="F84" i="1"/>
  <c r="A84" i="1"/>
  <c r="O83" i="1"/>
  <c r="N83" i="1"/>
  <c r="M83" i="1"/>
  <c r="J83" i="1"/>
  <c r="H83" i="1"/>
  <c r="G83" i="1"/>
  <c r="F83" i="1"/>
  <c r="A83" i="1"/>
  <c r="O82" i="1"/>
  <c r="N82" i="1"/>
  <c r="M82" i="1"/>
  <c r="J82" i="1"/>
  <c r="H82" i="1"/>
  <c r="G82" i="1"/>
  <c r="F82" i="1"/>
  <c r="A82" i="1"/>
  <c r="O81" i="1"/>
  <c r="N81" i="1"/>
  <c r="M81" i="1"/>
  <c r="J81" i="1"/>
  <c r="H81" i="1"/>
  <c r="G81" i="1"/>
  <c r="F81" i="1"/>
  <c r="A81" i="1"/>
  <c r="O80" i="1"/>
  <c r="N80" i="1"/>
  <c r="M80" i="1"/>
  <c r="J80" i="1"/>
  <c r="H80" i="1"/>
  <c r="G80" i="1"/>
  <c r="F80" i="1"/>
  <c r="A80" i="1"/>
  <c r="O79" i="1"/>
  <c r="N79" i="1"/>
  <c r="M79" i="1"/>
  <c r="J79" i="1"/>
  <c r="H79" i="1"/>
  <c r="G79" i="1"/>
  <c r="F79" i="1"/>
  <c r="A79" i="1"/>
  <c r="O78" i="1"/>
  <c r="N78" i="1"/>
  <c r="M78" i="1"/>
  <c r="J78" i="1"/>
  <c r="H78" i="1"/>
  <c r="G78" i="1"/>
  <c r="F78" i="1"/>
  <c r="A78" i="1"/>
  <c r="O77" i="1"/>
  <c r="N77" i="1"/>
  <c r="M77" i="1"/>
  <c r="J77" i="1"/>
  <c r="H77" i="1"/>
  <c r="G77" i="1"/>
  <c r="F77" i="1"/>
  <c r="A77" i="1"/>
  <c r="O76" i="1"/>
  <c r="N76" i="1"/>
  <c r="M76" i="1"/>
  <c r="J76" i="1"/>
  <c r="H76" i="1"/>
  <c r="G76" i="1"/>
  <c r="F76" i="1"/>
  <c r="A76" i="1"/>
  <c r="O75" i="1"/>
  <c r="N75" i="1"/>
  <c r="M75" i="1"/>
  <c r="J75" i="1"/>
  <c r="H75" i="1"/>
  <c r="G75" i="1"/>
  <c r="F75" i="1"/>
  <c r="A75" i="1"/>
  <c r="O74" i="1"/>
  <c r="N74" i="1"/>
  <c r="M74" i="1"/>
  <c r="J74" i="1"/>
  <c r="H74" i="1"/>
  <c r="G74" i="1"/>
  <c r="F74" i="1"/>
  <c r="A74" i="1"/>
  <c r="O73" i="1"/>
  <c r="N73" i="1"/>
  <c r="M73" i="1"/>
  <c r="J73" i="1"/>
  <c r="H73" i="1"/>
  <c r="G73" i="1"/>
  <c r="F73" i="1"/>
  <c r="A73" i="1"/>
  <c r="O72" i="1"/>
  <c r="N72" i="1"/>
  <c r="M72" i="1"/>
  <c r="J72" i="1"/>
  <c r="H72" i="1"/>
  <c r="G72" i="1"/>
  <c r="F72" i="1"/>
  <c r="A72" i="1"/>
  <c r="O71" i="1"/>
  <c r="N71" i="1"/>
  <c r="M71" i="1"/>
  <c r="J71" i="1"/>
  <c r="H71" i="1"/>
  <c r="G71" i="1"/>
  <c r="F71" i="1"/>
  <c r="A71" i="1"/>
  <c r="O70" i="1"/>
  <c r="N70" i="1"/>
  <c r="M70" i="1"/>
  <c r="J70" i="1"/>
  <c r="H70" i="1"/>
  <c r="G70" i="1"/>
  <c r="F70" i="1"/>
  <c r="A70" i="1"/>
  <c r="O69" i="1"/>
  <c r="N69" i="1"/>
  <c r="M69" i="1"/>
  <c r="J69" i="1"/>
  <c r="H69" i="1"/>
  <c r="G69" i="1"/>
  <c r="F69" i="1"/>
  <c r="A69" i="1"/>
  <c r="O68" i="1"/>
  <c r="N68" i="1"/>
  <c r="M68" i="1"/>
  <c r="J68" i="1"/>
  <c r="H68" i="1"/>
  <c r="G68" i="1"/>
  <c r="F68" i="1"/>
  <c r="A68" i="1"/>
  <c r="O67" i="1"/>
  <c r="N67" i="1"/>
  <c r="M67" i="1"/>
  <c r="J67" i="1"/>
  <c r="H67" i="1"/>
  <c r="G67" i="1"/>
  <c r="F67" i="1"/>
  <c r="A67" i="1"/>
  <c r="O66" i="1"/>
  <c r="N66" i="1"/>
  <c r="M66" i="1"/>
  <c r="J66" i="1"/>
  <c r="H66" i="1"/>
  <c r="G66" i="1"/>
  <c r="F66" i="1"/>
  <c r="A66" i="1"/>
  <c r="O65" i="1"/>
  <c r="N65" i="1"/>
  <c r="M65" i="1"/>
  <c r="J65" i="1"/>
  <c r="H65" i="1"/>
  <c r="G65" i="1"/>
  <c r="F65" i="1"/>
  <c r="A65" i="1"/>
  <c r="O64" i="1"/>
  <c r="N64" i="1"/>
  <c r="M64" i="1"/>
  <c r="J64" i="1"/>
  <c r="H64" i="1"/>
  <c r="G64" i="1"/>
  <c r="F64" i="1"/>
  <c r="A64" i="1"/>
  <c r="O63" i="1"/>
  <c r="N63" i="1"/>
  <c r="M63" i="1"/>
  <c r="J63" i="1"/>
  <c r="H63" i="1"/>
  <c r="G63" i="1"/>
  <c r="F63" i="1"/>
  <c r="A63" i="1"/>
  <c r="O62" i="1"/>
  <c r="N62" i="1"/>
  <c r="M62" i="1"/>
  <c r="J62" i="1"/>
  <c r="H62" i="1"/>
  <c r="G62" i="1"/>
  <c r="F62" i="1"/>
  <c r="A62" i="1"/>
  <c r="O61" i="1"/>
  <c r="N61" i="1"/>
  <c r="M61" i="1"/>
  <c r="J61" i="1"/>
  <c r="H61" i="1"/>
  <c r="G61" i="1"/>
  <c r="F61" i="1"/>
  <c r="A61" i="1"/>
  <c r="O60" i="1"/>
  <c r="N60" i="1"/>
  <c r="M60" i="1"/>
  <c r="J60" i="1"/>
  <c r="H60" i="1"/>
  <c r="G60" i="1"/>
  <c r="F60" i="1"/>
  <c r="A60" i="1"/>
  <c r="O59" i="1"/>
  <c r="N59" i="1"/>
  <c r="M59" i="1"/>
  <c r="J59" i="1"/>
  <c r="H59" i="1"/>
  <c r="G59" i="1"/>
  <c r="F59" i="1"/>
  <c r="A59" i="1"/>
  <c r="O58" i="1"/>
  <c r="N58" i="1"/>
  <c r="M58" i="1"/>
  <c r="J58" i="1"/>
  <c r="H58" i="1"/>
  <c r="G58" i="1"/>
  <c r="F58" i="1"/>
  <c r="A58" i="1"/>
  <c r="O57" i="1"/>
  <c r="N57" i="1"/>
  <c r="M57" i="1"/>
  <c r="J57" i="1"/>
  <c r="H57" i="1"/>
  <c r="G57" i="1"/>
  <c r="F57" i="1"/>
  <c r="A57" i="1"/>
  <c r="O56" i="1"/>
  <c r="N56" i="1"/>
  <c r="M56" i="1"/>
  <c r="J56" i="1"/>
  <c r="H56" i="1"/>
  <c r="G56" i="1"/>
  <c r="F56" i="1"/>
  <c r="A56" i="1"/>
  <c r="O55" i="1"/>
  <c r="N55" i="1"/>
  <c r="M55" i="1"/>
  <c r="J55" i="1"/>
  <c r="H55" i="1"/>
  <c r="G55" i="1"/>
  <c r="F55" i="1"/>
  <c r="A55" i="1"/>
  <c r="O54" i="1"/>
  <c r="N54" i="1"/>
  <c r="M54" i="1"/>
  <c r="J54" i="1"/>
  <c r="H54" i="1"/>
  <c r="G54" i="1"/>
  <c r="F54" i="1"/>
  <c r="A54" i="1"/>
  <c r="O53" i="1"/>
  <c r="N53" i="1"/>
  <c r="M53" i="1"/>
  <c r="J53" i="1"/>
  <c r="H53" i="1"/>
  <c r="G53" i="1"/>
  <c r="F53" i="1"/>
  <c r="A53" i="1"/>
  <c r="O52" i="1"/>
  <c r="N52" i="1"/>
  <c r="M52" i="1"/>
  <c r="J52" i="1"/>
  <c r="H52" i="1"/>
  <c r="G52" i="1"/>
  <c r="F52" i="1"/>
  <c r="A52" i="1"/>
  <c r="O51" i="1"/>
  <c r="N51" i="1"/>
  <c r="M51" i="1"/>
  <c r="J51" i="1"/>
  <c r="H51" i="1"/>
  <c r="G51" i="1"/>
  <c r="F51" i="1"/>
  <c r="A51" i="1"/>
  <c r="O50" i="1"/>
  <c r="N50" i="1"/>
  <c r="M50" i="1"/>
  <c r="J50" i="1"/>
  <c r="H50" i="1"/>
  <c r="G50" i="1"/>
  <c r="F50" i="1"/>
  <c r="A50" i="1"/>
  <c r="O49" i="1"/>
  <c r="N49" i="1"/>
  <c r="M49" i="1"/>
  <c r="J49" i="1"/>
  <c r="H49" i="1"/>
  <c r="G49" i="1"/>
  <c r="F49" i="1"/>
  <c r="A49" i="1"/>
  <c r="O48" i="1"/>
  <c r="N48" i="1"/>
  <c r="M48" i="1"/>
  <c r="J48" i="1"/>
  <c r="H48" i="1"/>
  <c r="G48" i="1"/>
  <c r="F48" i="1"/>
  <c r="A48" i="1"/>
  <c r="O47" i="1"/>
  <c r="N47" i="1"/>
  <c r="M47" i="1"/>
  <c r="J47" i="1"/>
  <c r="H47" i="1"/>
  <c r="G47" i="1"/>
  <c r="F47" i="1"/>
  <c r="A47" i="1"/>
  <c r="O46" i="1"/>
  <c r="N46" i="1"/>
  <c r="M46" i="1"/>
  <c r="J46" i="1"/>
  <c r="H46" i="1"/>
  <c r="G46" i="1"/>
  <c r="F46" i="1"/>
  <c r="A46" i="1"/>
  <c r="O45" i="1"/>
  <c r="N45" i="1"/>
  <c r="M45" i="1"/>
  <c r="J45" i="1"/>
  <c r="H45" i="1"/>
  <c r="G45" i="1"/>
  <c r="F45" i="1"/>
  <c r="A45" i="1"/>
  <c r="O44" i="1"/>
  <c r="N44" i="1"/>
  <c r="M44" i="1"/>
  <c r="J44" i="1"/>
  <c r="H44" i="1"/>
  <c r="G44" i="1"/>
  <c r="F44" i="1"/>
  <c r="A44" i="1"/>
  <c r="O43" i="1"/>
  <c r="N43" i="1"/>
  <c r="M43" i="1"/>
  <c r="J43" i="1"/>
  <c r="H43" i="1"/>
  <c r="G43" i="1"/>
  <c r="F43" i="1"/>
  <c r="A43" i="1"/>
  <c r="O42" i="1"/>
  <c r="N42" i="1"/>
  <c r="M42" i="1"/>
  <c r="J42" i="1"/>
  <c r="H42" i="1"/>
  <c r="G42" i="1"/>
  <c r="F42" i="1"/>
  <c r="A42" i="1"/>
  <c r="O41" i="1"/>
  <c r="N41" i="1"/>
  <c r="M41" i="1"/>
  <c r="J41" i="1"/>
  <c r="H41" i="1"/>
  <c r="G41" i="1"/>
  <c r="F41" i="1"/>
  <c r="A41" i="1"/>
  <c r="O40" i="1"/>
  <c r="N40" i="1"/>
  <c r="M40" i="1"/>
  <c r="J40" i="1"/>
  <c r="H40" i="1"/>
  <c r="G40" i="1"/>
  <c r="F40" i="1"/>
  <c r="A40" i="1"/>
  <c r="O39" i="1"/>
  <c r="N39" i="1"/>
  <c r="M39" i="1"/>
  <c r="J39" i="1"/>
  <c r="H39" i="1"/>
  <c r="G39" i="1"/>
  <c r="F39" i="1"/>
  <c r="A39" i="1"/>
  <c r="O38" i="1"/>
  <c r="N38" i="1"/>
  <c r="M38" i="1"/>
  <c r="J38" i="1"/>
  <c r="H38" i="1"/>
  <c r="G38" i="1"/>
  <c r="F38" i="1"/>
  <c r="A38" i="1"/>
  <c r="O37" i="1"/>
  <c r="N37" i="1"/>
  <c r="M37" i="1"/>
  <c r="J37" i="1"/>
  <c r="H37" i="1"/>
  <c r="G37" i="1"/>
  <c r="F37" i="1"/>
  <c r="A37" i="1"/>
  <c r="O36" i="1"/>
  <c r="N36" i="1"/>
  <c r="M36" i="1"/>
  <c r="J36" i="1"/>
  <c r="H36" i="1"/>
  <c r="G36" i="1"/>
  <c r="F36" i="1"/>
  <c r="A36" i="1"/>
  <c r="O35" i="1"/>
  <c r="N35" i="1"/>
  <c r="M35" i="1"/>
  <c r="J35" i="1"/>
  <c r="H35" i="1"/>
  <c r="G35" i="1"/>
  <c r="F35" i="1"/>
  <c r="A35" i="1"/>
  <c r="O34" i="1"/>
  <c r="N34" i="1"/>
  <c r="M34" i="1"/>
  <c r="J34" i="1"/>
  <c r="H34" i="1"/>
  <c r="G34" i="1"/>
  <c r="F34" i="1"/>
  <c r="A34" i="1"/>
  <c r="O33" i="1"/>
  <c r="N33" i="1"/>
  <c r="M33" i="1"/>
  <c r="J33" i="1"/>
  <c r="H33" i="1"/>
  <c r="G33" i="1"/>
  <c r="F33" i="1"/>
  <c r="A33" i="1"/>
  <c r="O32" i="1"/>
  <c r="N32" i="1"/>
  <c r="M32" i="1"/>
  <c r="J32" i="1"/>
  <c r="H32" i="1"/>
  <c r="G32" i="1"/>
  <c r="F32" i="1"/>
  <c r="A32" i="1"/>
  <c r="O31" i="1"/>
  <c r="N31" i="1"/>
  <c r="M31" i="1"/>
  <c r="J31" i="1"/>
  <c r="H31" i="1"/>
  <c r="G31" i="1"/>
  <c r="F31" i="1"/>
  <c r="A31" i="1"/>
  <c r="O30" i="1"/>
  <c r="N30" i="1"/>
  <c r="M30" i="1"/>
  <c r="J30" i="1"/>
  <c r="H30" i="1"/>
  <c r="G30" i="1"/>
  <c r="F30" i="1"/>
  <c r="A30" i="1"/>
  <c r="O29" i="1"/>
  <c r="N29" i="1"/>
  <c r="M29" i="1"/>
  <c r="J29" i="1"/>
  <c r="H29" i="1"/>
  <c r="G29" i="1"/>
  <c r="F29" i="1"/>
  <c r="A29" i="1"/>
  <c r="O28" i="1"/>
  <c r="N28" i="1"/>
  <c r="M28" i="1"/>
  <c r="J28" i="1"/>
  <c r="H28" i="1"/>
  <c r="G28" i="1"/>
  <c r="F28" i="1"/>
  <c r="A28" i="1"/>
  <c r="O27" i="1"/>
  <c r="N27" i="1"/>
  <c r="M27" i="1"/>
  <c r="J27" i="1"/>
  <c r="H27" i="1"/>
  <c r="G27" i="1"/>
  <c r="F27" i="1"/>
  <c r="A27" i="1"/>
  <c r="O26" i="1"/>
  <c r="N26" i="1"/>
  <c r="M26" i="1"/>
  <c r="J26" i="1"/>
  <c r="H26" i="1"/>
  <c r="G26" i="1"/>
  <c r="F26" i="1"/>
  <c r="A26" i="1"/>
  <c r="O25" i="1"/>
  <c r="N25" i="1"/>
  <c r="M25" i="1"/>
  <c r="J25" i="1"/>
  <c r="H25" i="1"/>
  <c r="G25" i="1"/>
  <c r="F25" i="1"/>
  <c r="A25" i="1"/>
  <c r="O24" i="1"/>
  <c r="N24" i="1"/>
  <c r="M24" i="1"/>
  <c r="J24" i="1"/>
  <c r="H24" i="1"/>
  <c r="G24" i="1"/>
  <c r="F24" i="1"/>
  <c r="A24" i="1"/>
  <c r="O23" i="1"/>
  <c r="N23" i="1"/>
  <c r="M23" i="1"/>
  <c r="J23" i="1"/>
  <c r="H23" i="1"/>
  <c r="G23" i="1"/>
  <c r="F23" i="1"/>
  <c r="A23" i="1"/>
  <c r="O22" i="1"/>
  <c r="N22" i="1"/>
  <c r="M22" i="1"/>
  <c r="J22" i="1"/>
  <c r="H22" i="1"/>
  <c r="G22" i="1"/>
  <c r="F22" i="1"/>
  <c r="A22" i="1"/>
  <c r="O21" i="1"/>
  <c r="N21" i="1"/>
  <c r="M21" i="1"/>
  <c r="J21" i="1"/>
  <c r="H21" i="1"/>
  <c r="G21" i="1"/>
  <c r="F21" i="1"/>
  <c r="A21" i="1"/>
  <c r="O20" i="1"/>
  <c r="N20" i="1"/>
  <c r="M20" i="1"/>
  <c r="J20" i="1"/>
  <c r="H20" i="1"/>
  <c r="G20" i="1"/>
  <c r="F20" i="1"/>
  <c r="A20" i="1"/>
  <c r="O19" i="1"/>
  <c r="N19" i="1"/>
  <c r="M19" i="1"/>
  <c r="J19" i="1"/>
  <c r="H19" i="1"/>
  <c r="G19" i="1"/>
  <c r="F19" i="1"/>
  <c r="A19" i="1"/>
  <c r="O18" i="1"/>
  <c r="N18" i="1"/>
  <c r="M18" i="1"/>
  <c r="J18" i="1"/>
  <c r="H18" i="1"/>
  <c r="G18" i="1"/>
  <c r="F18" i="1"/>
  <c r="A18" i="1"/>
  <c r="O17" i="1"/>
  <c r="N17" i="1"/>
  <c r="M17" i="1"/>
  <c r="J17" i="1"/>
  <c r="H17" i="1"/>
  <c r="G17" i="1"/>
  <c r="F17" i="1"/>
  <c r="A17" i="1"/>
  <c r="O16" i="1"/>
  <c r="N16" i="1"/>
  <c r="M16" i="1"/>
  <c r="J16" i="1"/>
  <c r="H16" i="1"/>
  <c r="G16" i="1"/>
  <c r="F16" i="1"/>
  <c r="A16" i="1"/>
  <c r="O15" i="1"/>
  <c r="N15" i="1"/>
  <c r="M15" i="1"/>
  <c r="J15" i="1"/>
  <c r="H15" i="1"/>
  <c r="G15" i="1"/>
  <c r="F15" i="1"/>
  <c r="A15" i="1"/>
  <c r="O14" i="1"/>
  <c r="N14" i="1"/>
  <c r="M14" i="1"/>
  <c r="J14" i="1"/>
  <c r="H14" i="1"/>
  <c r="G14" i="1"/>
  <c r="F14" i="1"/>
  <c r="A14" i="1"/>
  <c r="O13" i="1"/>
  <c r="N13" i="1"/>
  <c r="M13" i="1"/>
  <c r="J13" i="1"/>
  <c r="H13" i="1"/>
  <c r="G13" i="1"/>
  <c r="F13" i="1"/>
  <c r="A13" i="1"/>
  <c r="O12" i="1"/>
  <c r="N12" i="1"/>
  <c r="M12" i="1"/>
  <c r="J12" i="1"/>
  <c r="H12" i="1"/>
  <c r="G12" i="1"/>
  <c r="F12" i="1"/>
  <c r="A12" i="1"/>
  <c r="O11" i="1"/>
  <c r="N11" i="1"/>
  <c r="M11" i="1"/>
  <c r="J11" i="1"/>
  <c r="H11" i="1"/>
  <c r="G11" i="1"/>
  <c r="F11" i="1"/>
  <c r="A11" i="1"/>
  <c r="O10" i="1"/>
  <c r="N10" i="1"/>
  <c r="M10" i="1"/>
  <c r="J10" i="1"/>
  <c r="H10" i="1"/>
  <c r="G10" i="1"/>
  <c r="F10" i="1"/>
  <c r="A10" i="1"/>
  <c r="O9" i="1"/>
  <c r="N9" i="1"/>
  <c r="M9" i="1"/>
  <c r="J9" i="1"/>
  <c r="H9" i="1"/>
  <c r="G9" i="1"/>
  <c r="F9" i="1"/>
  <c r="A9" i="1"/>
  <c r="O8" i="1"/>
  <c r="N8" i="1"/>
  <c r="M8" i="1"/>
  <c r="J8" i="1"/>
  <c r="H8" i="1"/>
  <c r="G8" i="1"/>
  <c r="F8" i="1"/>
  <c r="A8" i="1"/>
  <c r="O7" i="1"/>
  <c r="N7" i="1"/>
  <c r="M7" i="1"/>
  <c r="J7" i="1"/>
  <c r="H7" i="1"/>
  <c r="G7" i="1"/>
  <c r="F7" i="1"/>
  <c r="A7" i="1"/>
  <c r="O6" i="1"/>
  <c r="N6" i="1"/>
  <c r="M6" i="1"/>
  <c r="J6" i="1"/>
  <c r="H6" i="1"/>
  <c r="G6" i="1"/>
  <c r="F6" i="1"/>
  <c r="A6" i="1"/>
  <c r="O5" i="1"/>
  <c r="N5" i="1"/>
  <c r="M5" i="1"/>
  <c r="J5" i="1"/>
  <c r="H5" i="1"/>
  <c r="G5" i="1"/>
  <c r="F5" i="1"/>
  <c r="A5" i="1"/>
  <c r="O4" i="1"/>
  <c r="N4" i="1"/>
  <c r="M4" i="1"/>
  <c r="J4" i="1"/>
  <c r="H4" i="1"/>
  <c r="G4" i="1"/>
  <c r="F4" i="1"/>
  <c r="A4" i="1"/>
  <c r="O3" i="1"/>
  <c r="N3" i="1"/>
  <c r="M3" i="1"/>
  <c r="J3" i="1"/>
  <c r="H3" i="1"/>
  <c r="G3" i="1"/>
  <c r="F3" i="1"/>
  <c r="A3" i="1"/>
  <c r="O2" i="1"/>
  <c r="N2" i="1"/>
  <c r="M2" i="1"/>
  <c r="J2" i="1"/>
  <c r="H2" i="1"/>
  <c r="G2" i="1"/>
  <c r="F2" i="1"/>
  <c r="A2" i="1"/>
</calcChain>
</file>

<file path=xl/sharedStrings.xml><?xml version="1.0" encoding="utf-8"?>
<sst xmlns="http://schemas.openxmlformats.org/spreadsheetml/2006/main" count="962" uniqueCount="287">
  <si>
    <t>image_id</t>
  </si>
  <si>
    <t>work_id</t>
  </si>
  <si>
    <t>witness_id</t>
  </si>
  <si>
    <t>page</t>
  </si>
  <si>
    <t>image_role</t>
  </si>
  <si>
    <t>source_filename</t>
  </si>
  <si>
    <t>source_path</t>
  </si>
  <si>
    <t>web_path</t>
  </si>
  <si>
    <t>thumb_path</t>
  </si>
  <si>
    <t>iiif_path</t>
  </si>
  <si>
    <t>width</t>
  </si>
  <si>
    <t>height</t>
  </si>
  <si>
    <t>label</t>
  </si>
  <si>
    <t>manifest_id</t>
  </si>
  <si>
    <t>canvas_id</t>
  </si>
  <si>
    <t>status</t>
  </si>
  <si>
    <t>note</t>
  </si>
  <si>
    <t>001</t>
  </si>
  <si>
    <t>w01</t>
  </si>
  <si>
    <t>iiif</t>
  </si>
  <si>
    <t>iiif_ready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</si>
  <si>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</si>
  <si>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</si>
  <si>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</si>
  <si>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</si>
  <si>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</si>
  <si>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</si>
  <si>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</si>
  <si>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</si>
  <si>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</si>
  <si>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</si>
  <si>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</si>
  <si>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</si>
  <si>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</si>
  <si>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</si>
  <si>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</si>
  <si>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</si>
  <si>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</si>
  <si>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</si>
  <si>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</si>
  <si>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</si>
  <si>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</si>
  <si>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</si>
  <si>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</si>
  <si>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</si>
  <si>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</si>
  <si>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</si>
  <si>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</si>
  <si>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</si>
  <si>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</si>
  <si>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</si>
  <si>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</si>
  <si>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</si>
  <si>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</si>
  <si>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</si>
  <si>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</si>
  <si>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</si>
  <si>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</si>
  <si>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</si>
  <si>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</si>
  <si>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</si>
  <si>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</si>
  <si>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</si>
  <si>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</si>
  <si>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</si>
  <si>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</si>
  <si>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</si>
  <si>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</si>
  <si>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</si>
  <si>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</si>
  <si>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</si>
  <si>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</si>
  <si>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</si>
  <si>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</si>
  <si>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</si>
  <si>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</si>
  <si>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</si>
  <si>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</si>
  <si>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</si>
  <si>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</si>
  <si>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</si>
  <si>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</si>
  <si>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</si>
  <si>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</si>
  <si>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</si>
  <si>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</si>
  <si>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</si>
  <si>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w02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</si>
  <si>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</si>
  <si>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</si>
  <si>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</si>
  <si>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</si>
  <si>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</si>
  <si>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</si>
  <si>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</si>
  <si>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</si>
  <si>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</si>
  <si>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</si>
  <si>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</si>
  <si>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</si>
  <si>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</si>
  <si>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</si>
  <si>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</si>
  <si>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</si>
  <si>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</si>
  <si>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</si>
  <si>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</si>
  <si>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</si>
  <si>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</si>
  <si>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</si>
  <si>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</si>
  <si>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</si>
  <si>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</si>
  <si>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</si>
  <si>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</si>
  <si>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</si>
  <si>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</si>
  <si>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</si>
  <si>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</si>
  <si>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</si>
  <si>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</si>
  <si>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</si>
  <si>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</si>
  <si>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</si>
  <si>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</si>
  <si>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</si>
  <si>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</si>
  <si>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</si>
  <si>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</si>
  <si>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</si>
  <si>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</si>
  <si>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</si>
  <si>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</si>
  <si>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</si>
  <si>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</si>
  <si>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</si>
  <si>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</si>
  <si>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</si>
  <si>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</si>
  <si>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</si>
  <si>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</si>
  <si>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</si>
  <si>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</si>
  <si>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</si>
  <si>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</si>
  <si>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</si>
  <si>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</si>
  <si>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</si>
  <si>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</si>
  <si>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</si>
  <si>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</si>
  <si>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</si>
  <si>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</si>
  <si>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</si>
  <si>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</si>
  <si>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</si>
  <si>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</si>
  <si>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</si>
  <si>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</si>
  <si>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</si>
  <si>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</si>
  <si>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</si>
  <si>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</si>
  <si>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</si>
  <si>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</si>
  <si>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</si>
  <si>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</si>
  <si>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</si>
  <si>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</si>
  <si>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</si>
  <si>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</si>
  <si>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</si>
  <si>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</si>
  <si>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</si>
  <si>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</si>
  <si>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</si>
  <si>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</si>
  <si>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</si>
  <si>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</si>
  <si>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</si>
  <si>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</si>
  <si>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</si>
  <si>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</si>
  <si>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</si>
  <si>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</si>
  <si>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</si>
  <si>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</si>
  <si>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</si>
  <si>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</si>
  <si>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</si>
  <si>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</si>
  <si>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</si>
  <si>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</si>
  <si>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</si>
  <si>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</si>
  <si>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</si>
  <si>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</si>
  <si>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</si>
  <si>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</si>
  <si>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</si>
  <si>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</si>
  <si>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</si>
  <si>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</si>
  <si>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</si>
  <si>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</si>
  <si>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</si>
  <si>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</si>
  <si>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</si>
  <si>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</si>
  <si>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</si>
  <si>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</si>
  <si>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</si>
  <si>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</si>
  <si>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</si>
  <si>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</si>
  <si>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</si>
  <si>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</si>
  <si>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</si>
  <si>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</si>
  <si>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</si>
  <si>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</si>
  <si>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</si>
  <si>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</si>
  <si>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</si>
  <si>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</si>
  <si>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</si>
  <si>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</si>
  <si>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</si>
  <si>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</si>
  <si>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</si>
  <si>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web</t>
  </si>
  <si>
    <t>incoming</t>
  </si>
  <si>
    <t>210</t>
  </si>
  <si>
    <t>211</t>
  </si>
  <si>
    <t>212</t>
  </si>
  <si>
    <t>213</t>
  </si>
  <si>
    <t>214</t>
  </si>
  <si>
    <t>215</t>
  </si>
  <si>
    <t>216</t>
  </si>
  <si>
    <t>images_master.xlsx 使用说明</t>
  </si>
  <si>
    <t>1</t>
  </si>
  <si>
    <t>这是一张“图片主表”模板。每一行代表一张图片，而不是一首作品。</t>
  </si>
  <si>
    <t>2</t>
  </si>
  <si>
    <t>work_id 必须对应 works_ref 工作表中的 work_id；它与现有 master.json 的 id 一一对应。</t>
  </si>
  <si>
    <t>3</t>
  </si>
  <si>
    <t>如果一首作品有多张图片，请复制该作品所在行，并把 page 改为 2、3、4……</t>
  </si>
  <si>
    <t>4</t>
  </si>
  <si>
    <t>image_id、label、manifest_id、canvas_id 已设置为公式自动生成；一般不要手改。</t>
  </si>
  <si>
    <t>5</t>
  </si>
  <si>
    <t>你现在主要填写的列是：work_id、page、image_role、source_filename、source_path、web_path、thumb_path、iiif_path、width、height、status、note。</t>
  </si>
  <si>
    <t>6</t>
  </si>
  <si>
    <t>推荐流程：先把新图放入素材目录 → 填写本表 → 后续再用脚本批量生成 manifests。</t>
  </si>
  <si>
    <t>7</t>
  </si>
  <si>
    <t>status 建议使用：incoming / original_saved / processed / iiif_ready / published。</t>
  </si>
  <si>
    <t>8</t>
  </si>
  <si>
    <t>image_role 建议使用：original / web / thumb / iiif。第一阶段若只管理正式展示图，可统一写 web。</t>
  </si>
  <si>
    <t>字段名</t>
  </si>
  <si>
    <t>含义</t>
  </si>
  <si>
    <t>填写方式</t>
  </si>
  <si>
    <t>备注</t>
  </si>
  <si>
    <t>图片唯一ID</t>
  </si>
  <si>
    <t>自动生成</t>
  </si>
  <si>
    <t>由 work_id + page 组成</t>
  </si>
  <si>
    <t>对应作品ID</t>
  </si>
  <si>
    <t>手动填写/预填</t>
  </si>
  <si>
    <t>页码/图序</t>
  </si>
  <si>
    <t>手动填写</t>
  </si>
  <si>
    <t>统一写数字 1,2,3...</t>
  </si>
  <si>
    <t>图片角色</t>
  </si>
  <si>
    <t>下拉选择</t>
  </si>
  <si>
    <t>original / web / thumb / iiif</t>
  </si>
  <si>
    <t>原始文件名</t>
  </si>
  <si>
    <t>原图路径</t>
  </si>
  <si>
    <t>建议写相对路径</t>
  </si>
  <si>
    <t>网页展示图路径</t>
  </si>
  <si>
    <t>缩略图路径</t>
  </si>
  <si>
    <t>可留空</t>
  </si>
  <si>
    <t>IIIF正式图路径</t>
  </si>
  <si>
    <t>宽度</t>
  </si>
  <si>
    <t>可先留空</t>
  </si>
  <si>
    <t>后续可脚本自动获取</t>
  </si>
  <si>
    <t>高度</t>
  </si>
  <si>
    <t>图片显示名</t>
  </si>
  <si>
    <t>作品标题 + 第X葉</t>
  </si>
  <si>
    <t>归属manifest</t>
  </si>
  <si>
    <t>对应canvas ID</t>
  </si>
  <si>
    <t>当前状态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</si>
</sst>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rgb="FF0000FF"/>
      <name val="Calibri"/>
      <family val="2"/>
    </font>
    <font>
      <sz val="11"/>
      <color rgb="FF000000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4F8FF"/>
      </patternFill>
    </fill>
    <fill>
      <patternFill patternType="solid">
        <fgColor rgb="FFFFFFFF"/>
      </patternFill>
    </fill>
    <fill>
      <patternFill patternType="solid">
        <fgColor rgb="FFFFF4CC"/>
      </patternFill>
    </fill>
    <fill>
      <patternFill patternType="solid">
        <fgColor rgb="FFD9EAF7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1" fillId="2" borderId="0" xfId="1" applyFont="1" applyFill="1" applyAlignment="1">
      <alignment horizontal="center" vertical="center"/>
    </xf>
    <xf numFmtId="0" fontId="4" fillId="0" borderId="0" xfId="1" applyFont="1"/>
    <xf numFmtId="0" fontId="0" fillId="5" borderId="0" xfId="1" applyFont="1" applyFill="1" applyAlignment="1">
      <alignment vertical="top" wrapText="1"/>
    </xf>
    <xf numFmtId="0" fontId="0" fillId="0" borderId="0" xfId="1" applyFont="1" applyAlignment="1">
      <alignment vertical="top" wrapText="1"/>
    </xf>
    <xf numFmtId="0" fontId="4" fillId="6" borderId="1" xfId="1" applyFont="1" applyFill="1" applyBorder="1" applyAlignment="1">
      <alignment vertical="top" wrapText="1"/>
    </xf>
    <xf numFmtId="0" fontId="0" fillId="0" borderId="1" xfId="1" applyFont="1" applyBorder="1" applyAlignment="1">
      <alignment vertical="top" wrapText="1"/>
    </xf>
    <xf numFmtId="0" fontId="3" fillId="4" borderId="1" xfId="1" applyFont="1" applyFill="1" applyBorder="1" applyAlignment="1">
      <alignment horizontal="center" vertical="center" wrapText="1"/>
    </xf>
    <xf numFmtId="0" fontId="2" fillId="3" borderId="1" xfId="1" applyFont="1" applyFill="1" applyBorder="1" applyAlignment="1">
      <alignment horizontal="center" vertical="center" wrapText="1"/>
    </xf>
    <xf numFmtId="0" fontId="2" fillId="3" borderId="0" xfId="1" applyFont="1" applyFill="1" applyAlignment="1">
      <alignment horizontal="center" vertical="center" wrapText="1"/>
    </xf>
    <xf numFmtId="0" fontId="1" fillId="2" borderId="0" xfId="1" applyFont="1" applyFill="1" applyAlignment="1">
      <alignment horizontal="center"/>
    </xf>
    <xf numFmtId="0" fontId="0" fillId="0" borderId="0" xfId="0"/>
  </cellXfs>
  <cellStyles count="2">
    <cellStyle name="Normal" xfId="1" xr:uid="{00000000-0005-0000-0000-00000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48"/>
  <sheetViews>
    <sheetView showGridLines="0" tabSelected="1" topLeftCell="J1" workbookViewId="0">
      <selection activeCell="L11" sqref="L11"/>
    </sheetView>
  </sheetViews>
  <sheetFormatPr baseColWidth="10" defaultColWidth="8.83203125" defaultRowHeight="15" x14ac:dyDescent="0.2"/>
  <cols>
    <col min="1" max="1" width="26" customWidth="1"/>
    <col min="2" max="3" width="24" customWidth="1"/>
    <col min="4" max="4" width="8" customWidth="1"/>
    <col min="5" max="5" width="14" customWidth="1"/>
    <col min="6" max="6" width="22" customWidth="1"/>
    <col min="7" max="10" width="42" customWidth="1"/>
    <col min="11" max="11" width="10" customWidth="1"/>
    <col min="12" max="12" width="6" bestFit="1" customWidth="1"/>
    <col min="13" max="13" width="28" customWidth="1"/>
    <col min="14" max="14" width="26" customWidth="1"/>
    <col min="15" max="15" width="28" customWidth="1"/>
    <col min="16" max="16" width="16" customWidth="1"/>
    <col min="17" max="17" width="22" customWidth="1"/>
  </cols>
  <sheetData>
    <row r="1" spans="1:17" ht="2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ht="16" customHeight="1" x14ac:dyDescent="0.2">
      <c r="A2" s="7" t="str">
        <f t="shared" ref="A2:A65" si="0">IF(OR(B2="",D2=""),"",B2&amp;IF(C2="","","-"&amp;C2)&amp;"-p"&amp;D2)</f>
        <v>001-w01-p1</v>
      </c>
      <c r="B2" s="8" t="s">
        <v>17</v>
      </c>
      <c r="C2" s="8" t="s">
        <v>18</v>
      </c>
      <c r="D2" s="8">
        <v>1</v>
      </c>
      <c r="E2" s="8" t="s">
        <v>19</v>
      </c>
      <c r="F2" s="8" t="str">
        <f t="shared" ref="F2:F65" si="1">IF(OR(B2="",C2=""),"",B2&amp;"-"&amp;C2&amp;".jpg")</f>
        <v>001-w01.jpg</v>
      </c>
      <c r="G2" s="8" t="str">
        <f t="shared" ref="G2:G65" si="2">IF(OR(B2="",C2=""),"","images/"&amp;B2&amp;"-"&amp;C2&amp;".jpg")</f>
        <v>images/001-w01.jpg</v>
      </c>
      <c r="H2" s="8" t="str">
        <f t="shared" ref="H2:H65" si="3">IF(OR(B2="",C2=""),"","https://scholarbo.github.io/soseki-manuscripts/images/"&amp;B2&amp;"-"&amp;C2&amp;".jpg")</f>
        <v>https://scholarbo.github.io/soseki-manuscripts/images/001-w01.jpg</v>
      </c>
      <c r="I2" s="8"/>
      <c r="J2" s="8" t="str">
        <f t="shared" ref="J2:J65" si="4">IF(OR(B2="",C2="",E2&lt;&gt;"iiif"),"","images/"&amp;B2&amp;"-"&amp;C2&amp;".jpg")</f>
        <v>images/001-w01.jpg</v>
      </c>
      <c r="K2" s="8"/>
      <c r="L2" s="8"/>
      <c r="M2" s="7" t="str">
        <f t="shared" ref="M2:M65" si="5">IF(OR(B2="",D2=""),"",B2&amp;IF(C2="","",IF(C2="w01",""," 第"&amp;VALUE(RIGHT(C2,2))&amp;"版"))&amp;" 第"&amp;D2&amp;"頁")</f>
        <v>001 第1頁</v>
      </c>
      <c r="N2" s="7" t="str">
        <f t="shared" ref="N2:N65" si="6">IF(OR(B2="",C2=""),"","manifest-"&amp;B2&amp;"-"&amp;C2)</f>
        <v>manifest-001-w01</v>
      </c>
      <c r="O2" s="7" t="str">
        <f t="shared" ref="O2:O65" si="7">IF(OR(B2="",C2="",D2=""),"","canvas-"&amp;B2&amp;"-"&amp;C2&amp;IF(D2=1,"","-p"&amp;D2))</f>
        <v>canvas-001-w01</v>
      </c>
      <c r="P2" s="8" t="s">
        <v>20</v>
      </c>
      <c r="Q2" s="8"/>
    </row>
    <row r="3" spans="1:17" ht="16" customHeight="1" x14ac:dyDescent="0.2">
      <c r="A3" s="7" t="str">
        <f t="shared" si="0"/>
        <v>002-w01-p1</v>
      </c>
      <c r="B3" s="8" t="s">
        <v>21</v>
      </c>
      <c r="C3" s="8" t="s">
        <v>18</v>
      </c>
      <c r="D3" s="8">
        <v>1</v>
      </c>
      <c r="E3" s="8" t="s">
        <v>19</v>
      </c>
      <c r="F3" s="8" t="str">
        <f t="shared" si="1"/>
        <v>002-w01.jpg</v>
      </c>
      <c r="G3" s="8" t="str">
        <f t="shared" si="2"/>
        <v>images/002-w01.jpg</v>
      </c>
      <c r="H3" s="8" t="str">
        <f t="shared" si="3"/>
        <v>https://scholarbo.github.io/soseki-manuscripts/images/002-w01.jpg</v>
      </c>
      <c r="I3" s="8"/>
      <c r="J3" s="8" t="str">
        <f t="shared" si="4"/>
        <v>images/002-w01.jpg</v>
      </c>
      <c r="K3" s="8"/>
      <c r="L3" s="8"/>
      <c r="M3" s="7" t="str">
        <f t="shared" si="5"/>
        <v>002 第1頁</v>
      </c>
      <c r="N3" s="7" t="str">
        <f t="shared" si="6"/>
        <v>manifest-002-w01</v>
      </c>
      <c r="O3" s="7" t="str">
        <f t="shared" si="7"/>
        <v>canvas-002-w01</v>
      </c>
      <c r="P3" s="8" t="s">
        <v>20</v>
      </c>
      <c r="Q3" s="8"/>
    </row>
    <row r="4" spans="1:17" ht="16" customHeight="1" x14ac:dyDescent="0.2">
      <c r="A4" s="7" t="str">
        <f t="shared" si="0"/>
        <v>003-w01-p1</v>
      </c>
      <c r="B4" s="8" t="s">
        <v>22</v>
      </c>
      <c r="C4" s="8" t="s">
        <v>18</v>
      </c>
      <c r="D4" s="8">
        <v>1</v>
      </c>
      <c r="E4" s="8" t="s">
        <v>19</v>
      </c>
      <c r="F4" s="8" t="str">
        <f t="shared" si="1"/>
        <v>003-w01.jpg</v>
      </c>
      <c r="G4" s="8" t="str">
        <f t="shared" si="2"/>
        <v>images/003-w01.jpg</v>
      </c>
      <c r="H4" s="8" t="str">
        <f t="shared" si="3"/>
        <v>https://scholarbo.github.io/soseki-manuscripts/images/003-w01.jpg</v>
      </c>
      <c r="I4" s="8"/>
      <c r="J4" s="8" t="str">
        <f t="shared" si="4"/>
        <v>images/003-w01.jpg</v>
      </c>
      <c r="K4" s="8"/>
      <c r="L4" s="8"/>
      <c r="M4" s="7" t="str">
        <f t="shared" si="5"/>
        <v>003 第1頁</v>
      </c>
      <c r="N4" s="7" t="str">
        <f t="shared" si="6"/>
        <v>manifest-003-w01</v>
      </c>
      <c r="O4" s="7" t="str">
        <f t="shared" si="7"/>
        <v>canvas-003-w01</v>
      </c>
      <c r="P4" s="8" t="s">
        <v>20</v>
      </c>
      <c r="Q4" s="8"/>
    </row>
    <row r="5" spans="1:17" ht="16" customHeight="1" x14ac:dyDescent="0.2">
      <c r="A5" s="7" t="str">
        <f t="shared" si="0"/>
        <v>004-w01-p1</v>
      </c>
      <c r="B5" s="8" t="s">
        <v>23</v>
      </c>
      <c r="C5" s="8" t="s">
        <v>18</v>
      </c>
      <c r="D5" s="8">
        <v>1</v>
      </c>
      <c r="E5" s="8" t="s">
        <v>19</v>
      </c>
      <c r="F5" s="8" t="str">
        <f t="shared" si="1"/>
        <v>004-w01.jpg</v>
      </c>
      <c r="G5" s="8" t="str">
        <f t="shared" si="2"/>
        <v>images/004-w01.jpg</v>
      </c>
      <c r="H5" s="8" t="str">
        <f t="shared" si="3"/>
        <v>https://scholarbo.github.io/soseki-manuscripts/images/004-w01.jpg</v>
      </c>
      <c r="I5" s="8"/>
      <c r="J5" s="8" t="str">
        <f t="shared" si="4"/>
        <v>images/004-w01.jpg</v>
      </c>
      <c r="K5" s="8"/>
      <c r="L5" s="8"/>
      <c r="M5" s="7" t="str">
        <f t="shared" si="5"/>
        <v>004 第1頁</v>
      </c>
      <c r="N5" s="7" t="str">
        <f t="shared" si="6"/>
        <v>manifest-004-w01</v>
      </c>
      <c r="O5" s="7" t="str">
        <f t="shared" si="7"/>
        <v>canvas-004-w01</v>
      </c>
      <c r="P5" s="8" t="s">
        <v>20</v>
      </c>
      <c r="Q5" s="8"/>
    </row>
    <row r="6" spans="1:17" ht="16" customHeight="1" x14ac:dyDescent="0.2">
      <c r="A6" s="7" t="str">
        <f t="shared" si="0"/>
        <v>005-w01-p1</v>
      </c>
      <c r="B6" s="8" t="s">
        <v>24</v>
      </c>
      <c r="C6" s="8" t="s">
        <v>18</v>
      </c>
      <c r="D6" s="8">
        <v>1</v>
      </c>
      <c r="E6" s="8" t="s">
        <v>19</v>
      </c>
      <c r="F6" s="8" t="str">
        <f t="shared" si="1"/>
        <v>005-w01.jpg</v>
      </c>
      <c r="G6" s="8" t="str">
        <f t="shared" si="2"/>
        <v>images/005-w01.jpg</v>
      </c>
      <c r="H6" s="8" t="str">
        <f t="shared" si="3"/>
        <v>https://scholarbo.github.io/soseki-manuscripts/images/005-w01.jpg</v>
      </c>
      <c r="I6" s="8"/>
      <c r="J6" s="8" t="str">
        <f t="shared" si="4"/>
        <v>images/005-w01.jpg</v>
      </c>
      <c r="K6" s="8"/>
      <c r="L6" s="8"/>
      <c r="M6" s="7" t="str">
        <f t="shared" si="5"/>
        <v>005 第1頁</v>
      </c>
      <c r="N6" s="7" t="str">
        <f t="shared" si="6"/>
        <v>manifest-005-w01</v>
      </c>
      <c r="O6" s="7" t="str">
        <f t="shared" si="7"/>
        <v>canvas-005-w01</v>
      </c>
      <c r="P6" s="8" t="s">
        <v>20</v>
      </c>
      <c r="Q6" s="8"/>
    </row>
    <row r="7" spans="1:17" ht="16" customHeight="1" x14ac:dyDescent="0.2">
      <c r="A7" s="7" t="str">
        <f t="shared" si="0"/>
        <v>006-w01-p1</v>
      </c>
      <c r="B7" s="8" t="s">
        <v>25</v>
      </c>
      <c r="C7" s="8" t="s">
        <v>18</v>
      </c>
      <c r="D7" s="8">
        <v>1</v>
      </c>
      <c r="E7" s="8" t="s">
        <v>19</v>
      </c>
      <c r="F7" s="8" t="str">
        <f t="shared" si="1"/>
        <v>006-w01.jpg</v>
      </c>
      <c r="G7" s="8" t="str">
        <f t="shared" si="2"/>
        <v>images/006-w01.jpg</v>
      </c>
      <c r="H7" s="8" t="str">
        <f t="shared" si="3"/>
        <v>https://scholarbo.github.io/soseki-manuscripts/images/006-w01.jpg</v>
      </c>
      <c r="I7" s="8"/>
      <c r="J7" s="8" t="str">
        <f t="shared" si="4"/>
        <v>images/006-w01.jpg</v>
      </c>
      <c r="K7" s="8"/>
      <c r="L7" s="8"/>
      <c r="M7" s="7" t="str">
        <f t="shared" si="5"/>
        <v>006 第1頁</v>
      </c>
      <c r="N7" s="7" t="str">
        <f t="shared" si="6"/>
        <v>manifest-006-w01</v>
      </c>
      <c r="O7" s="7" t="str">
        <f t="shared" si="7"/>
        <v>canvas-006-w01</v>
      </c>
      <c r="P7" s="8" t="s">
        <v>20</v>
      </c>
      <c r="Q7" s="8"/>
    </row>
    <row r="8" spans="1:17" ht="16" customHeight="1" x14ac:dyDescent="0.2">
      <c r="A8" s="7" t="str">
        <f t="shared" si="0"/>
        <v>007-w01-p1</v>
      </c>
      <c r="B8" s="8" t="s">
        <v>26</v>
      </c>
      <c r="C8" s="8" t="s">
        <v>18</v>
      </c>
      <c r="D8" s="8">
        <v>1</v>
      </c>
      <c r="E8" s="8" t="s">
        <v>19</v>
      </c>
      <c r="F8" s="8" t="str">
        <f t="shared" si="1"/>
        <v>007-w01.jpg</v>
      </c>
      <c r="G8" s="8" t="str">
        <f t="shared" si="2"/>
        <v>images/007-w01.jpg</v>
      </c>
      <c r="H8" s="8" t="str">
        <f t="shared" si="3"/>
        <v>https://scholarbo.github.io/soseki-manuscripts/images/007-w01.jpg</v>
      </c>
      <c r="I8" s="8"/>
      <c r="J8" s="8" t="str">
        <f t="shared" si="4"/>
        <v>images/007-w01.jpg</v>
      </c>
      <c r="K8" s="8"/>
      <c r="L8" s="8"/>
      <c r="M8" s="7" t="str">
        <f t="shared" si="5"/>
        <v>007 第1頁</v>
      </c>
      <c r="N8" s="7" t="str">
        <f t="shared" si="6"/>
        <v>manifest-007-w01</v>
      </c>
      <c r="O8" s="7" t="str">
        <f t="shared" si="7"/>
        <v>canvas-007-w01</v>
      </c>
      <c r="P8" s="8" t="s">
        <v>20</v>
      </c>
      <c r="Q8" s="8"/>
    </row>
    <row r="9" spans="1:17" ht="16" customHeight="1" x14ac:dyDescent="0.2">
      <c r="A9" s="7" t="str">
        <f t="shared" si="0"/>
        <v>008-w01-p1</v>
      </c>
      <c r="B9" s="8" t="s">
        <v>27</v>
      </c>
      <c r="C9" s="8" t="s">
        <v>18</v>
      </c>
      <c r="D9" s="8">
        <v>1</v>
      </c>
      <c r="E9" s="8" t="s">
        <v>19</v>
      </c>
      <c r="F9" s="8" t="str">
        <f t="shared" si="1"/>
        <v>008-w01.jpg</v>
      </c>
      <c r="G9" s="8" t="str">
        <f t="shared" si="2"/>
        <v>images/008-w01.jpg</v>
      </c>
      <c r="H9" s="8" t="str">
        <f t="shared" si="3"/>
        <v>https://scholarbo.github.io/soseki-manuscripts/images/008-w01.jpg</v>
      </c>
      <c r="I9" s="8"/>
      <c r="J9" s="8" t="str">
        <f t="shared" si="4"/>
        <v>images/008-w01.jpg</v>
      </c>
      <c r="K9" s="8"/>
      <c r="L9" s="8"/>
      <c r="M9" s="7" t="str">
        <f t="shared" si="5"/>
        <v>008 第1頁</v>
      </c>
      <c r="N9" s="7" t="str">
        <f t="shared" si="6"/>
        <v>manifest-008-w01</v>
      </c>
      <c r="O9" s="7" t="str">
        <f t="shared" si="7"/>
        <v>canvas-008-w01</v>
      </c>
      <c r="P9" s="8" t="s">
        <v>20</v>
      </c>
      <c r="Q9" s="8"/>
    </row>
    <row r="10" spans="1:17" ht="48" customHeight="1" x14ac:dyDescent="0.2">
      <c r="A10" s="7" t="str">
        <f t="shared" si="0"/>
        <v>009-w01-p1</v>
      </c>
      <c r="B10" s="8" t="s">
        <v>28</v>
      </c>
      <c r="C10" s="8" t="s">
        <v>18</v>
      </c>
      <c r="D10" s="8">
        <v>1</v>
      </c>
      <c r="E10" s="8" t="s">
        <v>19</v>
      </c>
      <c r="F10" s="8" t="str">
        <f t="shared" si="1"/>
        <v>009-w01.jpg</v>
      </c>
      <c r="G10" s="8" t="str">
        <f t="shared" si="2"/>
        <v>images/009-w01.jpg</v>
      </c>
      <c r="H10" s="8" t="str">
        <f t="shared" si="3"/>
        <v>https://scholarbo.github.io/soseki-manuscripts/images/009-w01.jpg</v>
      </c>
      <c r="I10" s="8"/>
      <c r="J10" s="8" t="str">
        <f t="shared" si="4"/>
        <v>images/009-w01.jpg</v>
      </c>
      <c r="K10" s="8"/>
      <c r="L10" s="8"/>
      <c r="M10" s="7" t="str">
        <f t="shared" si="5"/>
        <v>009 第1頁</v>
      </c>
      <c r="N10" s="7" t="str">
        <f t="shared" si="6"/>
        <v>manifest-009-w01</v>
      </c>
      <c r="O10" s="7" t="str">
        <f t="shared" si="7"/>
        <v>canvas-009-w01</v>
      </c>
      <c r="P10" s="8" t="s">
        <v>20</v>
      </c>
      <c r="Q10" s="8"/>
    </row>
    <row r="11" spans="1:17" ht="48" customHeight="1" x14ac:dyDescent="0.2">
      <c r="A11" s="7" t="str">
        <f t="shared" si="0"/>
        <v>010-w01-p1</v>
      </c>
      <c r="B11" s="8" t="s">
        <v>29</v>
      </c>
      <c r="C11" s="8" t="s">
        <v>18</v>
      </c>
      <c r="D11" s="8">
        <v>1</v>
      </c>
      <c r="E11" s="8" t="s">
        <v>19</v>
      </c>
      <c r="F11" s="8" t="str">
        <f t="shared" si="1"/>
        <v>010-w01.jpg</v>
      </c>
      <c r="G11" s="8" t="str">
        <f t="shared" si="2"/>
        <v>images/010-w01.jpg</v>
      </c>
      <c r="H11" s="8" t="str">
        <f t="shared" si="3"/>
        <v>https://scholarbo.github.io/soseki-manuscripts/images/010-w01.jpg</v>
      </c>
      <c r="I11" s="8"/>
      <c r="J11" s="8" t="str">
        <f t="shared" si="4"/>
        <v>images/010-w01.jpg</v>
      </c>
      <c r="K11" s="8"/>
      <c r="L11" s="8"/>
      <c r="M11" s="7" t="str">
        <f t="shared" si="5"/>
        <v>010 第1頁</v>
      </c>
      <c r="N11" s="7" t="str">
        <f t="shared" si="6"/>
        <v>manifest-010-w01</v>
      </c>
      <c r="O11" s="7" t="str">
        <f t="shared" si="7"/>
        <v>canvas-010-w01</v>
      </c>
      <c r="P11" s="8" t="s">
        <v>20</v>
      </c>
      <c r="Q11" s="8"/>
    </row>
    <row r="12" spans="1:17" ht="48" customHeight="1" x14ac:dyDescent="0.2">
      <c r="A12" s="7" t="str">
        <f t="shared" si="0"/>
        <v>011-w01-p1</v>
      </c>
      <c r="B12" s="8" t="s">
        <v>30</v>
      </c>
      <c r="C12" s="8" t="s">
        <v>18</v>
      </c>
      <c r="D12" s="8">
        <v>1</v>
      </c>
      <c r="E12" s="8" t="s">
        <v>19</v>
      </c>
      <c r="F12" s="8" t="str">
        <f t="shared" si="1"/>
        <v>011-w01.jpg</v>
      </c>
      <c r="G12" s="8" t="str">
        <f t="shared" si="2"/>
        <v>images/011-w01.jpg</v>
      </c>
      <c r="H12" s="8" t="str">
        <f t="shared" si="3"/>
        <v>https://scholarbo.github.io/soseki-manuscripts/images/011-w01.jpg</v>
      </c>
      <c r="I12" s="8"/>
      <c r="J12" s="8" t="str">
        <f t="shared" si="4"/>
        <v>images/011-w01.jpg</v>
      </c>
      <c r="K12" s="8"/>
      <c r="L12" s="8"/>
      <c r="M12" s="7" t="str">
        <f t="shared" si="5"/>
        <v>011 第1頁</v>
      </c>
      <c r="N12" s="7" t="str">
        <f t="shared" si="6"/>
        <v>manifest-011-w01</v>
      </c>
      <c r="O12" s="7" t="str">
        <f t="shared" si="7"/>
        <v>canvas-011-w01</v>
      </c>
      <c r="P12" s="8" t="s">
        <v>20</v>
      </c>
      <c r="Q12" s="8"/>
    </row>
    <row r="13" spans="1:17" ht="48" customHeight="1" x14ac:dyDescent="0.2">
      <c r="A13" s="7" t="str">
        <f t="shared" si="0"/>
        <v>012-w01-p1</v>
      </c>
      <c r="B13" s="8" t="s">
        <v>31</v>
      </c>
      <c r="C13" s="8" t="s">
        <v>18</v>
      </c>
      <c r="D13" s="8">
        <v>1</v>
      </c>
      <c r="E13" s="8" t="s">
        <v>19</v>
      </c>
      <c r="F13" s="8" t="str">
        <f t="shared" si="1"/>
        <v>012-w01.jpg</v>
      </c>
      <c r="G13" s="8" t="str">
        <f t="shared" si="2"/>
        <v>images/012-w01.jpg</v>
      </c>
      <c r="H13" s="8" t="str">
        <f t="shared" si="3"/>
        <v>https://scholarbo.github.io/soseki-manuscripts/images/012-w01.jpg</v>
      </c>
      <c r="I13" s="8"/>
      <c r="J13" s="8" t="str">
        <f t="shared" si="4"/>
        <v>images/012-w01.jpg</v>
      </c>
      <c r="K13" s="8"/>
      <c r="L13" s="8"/>
      <c r="M13" s="7" t="str">
        <f t="shared" si="5"/>
        <v>012 第1頁</v>
      </c>
      <c r="N13" s="7" t="str">
        <f t="shared" si="6"/>
        <v>manifest-012-w01</v>
      </c>
      <c r="O13" s="7" t="str">
        <f t="shared" si="7"/>
        <v>canvas-012-w01</v>
      </c>
      <c r="P13" s="8" t="s">
        <v>20</v>
      </c>
      <c r="Q13" s="8"/>
    </row>
    <row r="14" spans="1:17" ht="48" customHeight="1" x14ac:dyDescent="0.2">
      <c r="A14" s="7" t="str">
        <f t="shared" si="0"/>
        <v>013-w01-p1</v>
      </c>
      <c r="B14" s="8" t="s">
        <v>32</v>
      </c>
      <c r="C14" s="8" t="s">
        <v>18</v>
      </c>
      <c r="D14" s="8">
        <v>1</v>
      </c>
      <c r="E14" s="8" t="s">
        <v>19</v>
      </c>
      <c r="F14" s="8" t="str">
        <f t="shared" si="1"/>
        <v>013-w01.jpg</v>
      </c>
      <c r="G14" s="8" t="str">
        <f t="shared" si="2"/>
        <v>images/013-w01.jpg</v>
      </c>
      <c r="H14" s="8" t="str">
        <f t="shared" si="3"/>
        <v>https://scholarbo.github.io/soseki-manuscripts/images/013-w01.jpg</v>
      </c>
      <c r="I14" s="8"/>
      <c r="J14" s="8" t="str">
        <f t="shared" si="4"/>
        <v>images/013-w01.jpg</v>
      </c>
      <c r="K14" s="8"/>
      <c r="L14" s="8"/>
      <c r="M14" s="7" t="str">
        <f t="shared" si="5"/>
        <v>013 第1頁</v>
      </c>
      <c r="N14" s="7" t="str">
        <f t="shared" si="6"/>
        <v>manifest-013-w01</v>
      </c>
      <c r="O14" s="7" t="str">
        <f t="shared" si="7"/>
        <v>canvas-013-w01</v>
      </c>
      <c r="P14" s="8" t="s">
        <v>20</v>
      </c>
      <c r="Q14" s="8"/>
    </row>
    <row r="15" spans="1:17" ht="48" customHeight="1" x14ac:dyDescent="0.2">
      <c r="A15" s="7" t="str">
        <f t="shared" si="0"/>
        <v>014-w01-p1</v>
      </c>
      <c r="B15" s="8" t="s">
        <v>33</v>
      </c>
      <c r="C15" s="8" t="s">
        <v>18</v>
      </c>
      <c r="D15" s="8">
        <v>1</v>
      </c>
      <c r="E15" s="8" t="s">
        <v>19</v>
      </c>
      <c r="F15" s="8" t="str">
        <f t="shared" si="1"/>
        <v>014-w01.jpg</v>
      </c>
      <c r="G15" s="8" t="str">
        <f t="shared" si="2"/>
        <v>images/014-w01.jpg</v>
      </c>
      <c r="H15" s="8" t="str">
        <f t="shared" si="3"/>
        <v>https://scholarbo.github.io/soseki-manuscripts/images/014-w01.jpg</v>
      </c>
      <c r="I15" s="8"/>
      <c r="J15" s="8" t="str">
        <f t="shared" si="4"/>
        <v>images/014-w01.jpg</v>
      </c>
      <c r="K15" s="8"/>
      <c r="L15" s="8"/>
      <c r="M15" s="7" t="str">
        <f t="shared" si="5"/>
        <v>014 第1頁</v>
      </c>
      <c r="N15" s="7" t="str">
        <f t="shared" si="6"/>
        <v>manifest-014-w01</v>
      </c>
      <c r="O15" s="7" t="str">
        <f t="shared" si="7"/>
        <v>canvas-014-w01</v>
      </c>
      <c r="P15" s="8" t="s">
        <v>20</v>
      </c>
      <c r="Q15" s="8"/>
    </row>
    <row r="16" spans="1:17" ht="48" customHeight="1" x14ac:dyDescent="0.2">
      <c r="A16" s="7" t="str">
        <f t="shared" si="0"/>
        <v>015-w01-p1</v>
      </c>
      <c r="B16" s="8" t="s">
        <v>34</v>
      </c>
      <c r="C16" s="8" t="s">
        <v>18</v>
      </c>
      <c r="D16" s="8">
        <v>1</v>
      </c>
      <c r="E16" s="8" t="s">
        <v>19</v>
      </c>
      <c r="F16" s="8" t="str">
        <f t="shared" si="1"/>
        <v>015-w01.jpg</v>
      </c>
      <c r="G16" s="8" t="str">
        <f t="shared" si="2"/>
        <v>images/015-w01.jpg</v>
      </c>
      <c r="H16" s="8" t="str">
        <f t="shared" si="3"/>
        <v>https://scholarbo.github.io/soseki-manuscripts/images/015-w01.jpg</v>
      </c>
      <c r="I16" s="8"/>
      <c r="J16" s="8" t="str">
        <f t="shared" si="4"/>
        <v>images/015-w01.jpg</v>
      </c>
      <c r="K16" s="8"/>
      <c r="L16" s="8"/>
      <c r="M16" s="7" t="str">
        <f t="shared" si="5"/>
        <v>015 第1頁</v>
      </c>
      <c r="N16" s="7" t="str">
        <f t="shared" si="6"/>
        <v>manifest-015-w01</v>
      </c>
      <c r="O16" s="7" t="str">
        <f t="shared" si="7"/>
        <v>canvas-015-w01</v>
      </c>
      <c r="P16" s="8" t="s">
        <v>20</v>
      </c>
      <c r="Q16" s="8"/>
    </row>
    <row r="17" spans="1:17" ht="48" customHeight="1" x14ac:dyDescent="0.2">
      <c r="A17" s="7" t="str">
        <f t="shared" si="0"/>
        <v>016-w01-p1</v>
      </c>
      <c r="B17" s="8" t="s">
        <v>35</v>
      </c>
      <c r="C17" s="8" t="s">
        <v>18</v>
      </c>
      <c r="D17" s="8">
        <v>1</v>
      </c>
      <c r="E17" s="8" t="s">
        <v>19</v>
      </c>
      <c r="F17" s="8" t="str">
        <f t="shared" si="1"/>
        <v>016-w01.jpg</v>
      </c>
      <c r="G17" s="8" t="str">
        <f t="shared" si="2"/>
        <v>images/016-w01.jpg</v>
      </c>
      <c r="H17" s="8" t="str">
        <f t="shared" si="3"/>
        <v>https://scholarbo.github.io/soseki-manuscripts/images/016-w01.jpg</v>
      </c>
      <c r="I17" s="8"/>
      <c r="J17" s="8" t="str">
        <f t="shared" si="4"/>
        <v>images/016-w01.jpg</v>
      </c>
      <c r="K17" s="8"/>
      <c r="L17" s="8"/>
      <c r="M17" s="7" t="str">
        <f t="shared" si="5"/>
        <v>016 第1頁</v>
      </c>
      <c r="N17" s="7" t="str">
        <f t="shared" si="6"/>
        <v>manifest-016-w01</v>
      </c>
      <c r="O17" s="7" t="str">
        <f t="shared" si="7"/>
        <v>canvas-016-w01</v>
      </c>
      <c r="P17" s="8" t="s">
        <v>20</v>
      </c>
      <c r="Q17" s="8"/>
    </row>
    <row r="18" spans="1:17" ht="48" customHeight="1" x14ac:dyDescent="0.2">
      <c r="A18" s="7" t="str">
        <f t="shared" si="0"/>
        <v>017-w01-p1</v>
      </c>
      <c r="B18" s="8" t="s">
        <v>36</v>
      </c>
      <c r="C18" s="8" t="s">
        <v>18</v>
      </c>
      <c r="D18" s="8">
        <v>1</v>
      </c>
      <c r="E18" s="8" t="s">
        <v>19</v>
      </c>
      <c r="F18" s="8" t="str">
        <f t="shared" si="1"/>
        <v>017-w01.jpg</v>
      </c>
      <c r="G18" s="8" t="str">
        <f t="shared" si="2"/>
        <v>images/017-w01.jpg</v>
      </c>
      <c r="H18" s="8" t="str">
        <f t="shared" si="3"/>
        <v>https://scholarbo.github.io/soseki-manuscripts/images/017-w01.jpg</v>
      </c>
      <c r="I18" s="8"/>
      <c r="J18" s="8" t="str">
        <f t="shared" si="4"/>
        <v>images/017-w01.jpg</v>
      </c>
      <c r="K18" s="8"/>
      <c r="L18" s="8"/>
      <c r="M18" s="7" t="str">
        <f t="shared" si="5"/>
        <v>017 第1頁</v>
      </c>
      <c r="N18" s="7" t="str">
        <f t="shared" si="6"/>
        <v>manifest-017-w01</v>
      </c>
      <c r="O18" s="7" t="str">
        <f t="shared" si="7"/>
        <v>canvas-017-w01</v>
      </c>
      <c r="P18" s="8" t="s">
        <v>20</v>
      </c>
      <c r="Q18" s="8"/>
    </row>
    <row r="19" spans="1:17" ht="32" customHeight="1" x14ac:dyDescent="0.2">
      <c r="A19" s="7" t="str">
        <f t="shared" si="0"/>
        <v>018-w01-p1</v>
      </c>
      <c r="B19" s="8" t="s">
        <v>37</v>
      </c>
      <c r="C19" s="8" t="s">
        <v>18</v>
      </c>
      <c r="D19" s="8">
        <v>1</v>
      </c>
      <c r="E19" s="8" t="s">
        <v>19</v>
      </c>
      <c r="F19" s="8" t="str">
        <f t="shared" si="1"/>
        <v>018-w01.jpg</v>
      </c>
      <c r="G19" s="8" t="str">
        <f t="shared" si="2"/>
        <v>images/018-w01.jpg</v>
      </c>
      <c r="H19" s="8" t="str">
        <f t="shared" si="3"/>
        <v>https://scholarbo.github.io/soseki-manuscripts/images/018-w01.jpg</v>
      </c>
      <c r="I19" s="8"/>
      <c r="J19" s="8" t="str">
        <f t="shared" si="4"/>
        <v>images/018-w01.jpg</v>
      </c>
      <c r="K19" s="8"/>
      <c r="L19" s="8"/>
      <c r="M19" s="7" t="str">
        <f t="shared" si="5"/>
        <v>018 第1頁</v>
      </c>
      <c r="N19" s="7" t="str">
        <f t="shared" si="6"/>
        <v>manifest-018-w01</v>
      </c>
      <c r="O19" s="7" t="str">
        <f t="shared" si="7"/>
        <v>canvas-018-w01</v>
      </c>
      <c r="P19" s="8" t="s">
        <v>20</v>
      </c>
      <c r="Q19" s="8"/>
    </row>
    <row r="20" spans="1:17" ht="32" customHeight="1" x14ac:dyDescent="0.2">
      <c r="A20" s="7" t="str">
        <f t="shared" si="0"/>
        <v>019-w01-p1</v>
      </c>
      <c r="B20" s="8" t="s">
        <v>38</v>
      </c>
      <c r="C20" s="8" t="s">
        <v>18</v>
      </c>
      <c r="D20" s="8">
        <v>1</v>
      </c>
      <c r="E20" s="8" t="s">
        <v>19</v>
      </c>
      <c r="F20" s="8" t="str">
        <f t="shared" si="1"/>
        <v>019-w01.jpg</v>
      </c>
      <c r="G20" s="8" t="str">
        <f t="shared" si="2"/>
        <v>images/019-w01.jpg</v>
      </c>
      <c r="H20" s="8" t="str">
        <f t="shared" si="3"/>
        <v>https://scholarbo.github.io/soseki-manuscripts/images/019-w01.jpg</v>
      </c>
      <c r="I20" s="8"/>
      <c r="J20" s="8" t="str">
        <f t="shared" si="4"/>
        <v>images/019-w01.jpg</v>
      </c>
      <c r="K20" s="8"/>
      <c r="L20" s="8"/>
      <c r="M20" s="7" t="str">
        <f t="shared" si="5"/>
        <v>019 第1頁</v>
      </c>
      <c r="N20" s="7" t="str">
        <f t="shared" si="6"/>
        <v>manifest-019-w01</v>
      </c>
      <c r="O20" s="7" t="str">
        <f t="shared" si="7"/>
        <v>canvas-019-w01</v>
      </c>
      <c r="P20" s="8" t="s">
        <v>20</v>
      </c>
      <c r="Q20" s="8"/>
    </row>
    <row r="21" spans="1:17" ht="32" customHeight="1" x14ac:dyDescent="0.2">
      <c r="A21" s="7" t="str">
        <f t="shared" si="0"/>
        <v>020-w01-p1</v>
      </c>
      <c r="B21" s="8" t="s">
        <v>39</v>
      </c>
      <c r="C21" s="8" t="s">
        <v>18</v>
      </c>
      <c r="D21" s="8">
        <v>1</v>
      </c>
      <c r="E21" s="8" t="s">
        <v>19</v>
      </c>
      <c r="F21" s="8" t="str">
        <f t="shared" si="1"/>
        <v>020-w01.jpg</v>
      </c>
      <c r="G21" s="8" t="str">
        <f t="shared" si="2"/>
        <v>images/020-w01.jpg</v>
      </c>
      <c r="H21" s="8" t="str">
        <f t="shared" si="3"/>
        <v>https://scholarbo.github.io/soseki-manuscripts/images/020-w01.jpg</v>
      </c>
      <c r="I21" s="8"/>
      <c r="J21" s="8" t="str">
        <f t="shared" si="4"/>
        <v>images/020-w01.jpg</v>
      </c>
      <c r="K21" s="8"/>
      <c r="L21" s="8"/>
      <c r="M21" s="7" t="str">
        <f t="shared" si="5"/>
        <v>020 第1頁</v>
      </c>
      <c r="N21" s="7" t="str">
        <f t="shared" si="6"/>
        <v>manifest-020-w01</v>
      </c>
      <c r="O21" s="7" t="str">
        <f t="shared" si="7"/>
        <v>canvas-020-w01</v>
      </c>
      <c r="P21" s="8" t="s">
        <v>20</v>
      </c>
      <c r="Q21" s="8"/>
    </row>
    <row r="22" spans="1:17" ht="32" customHeight="1" x14ac:dyDescent="0.2">
      <c r="A22" s="7" t="str">
        <f t="shared" si="0"/>
        <v>021-w01-p1</v>
      </c>
      <c r="B22" s="8" t="s">
        <v>40</v>
      </c>
      <c r="C22" s="8" t="s">
        <v>18</v>
      </c>
      <c r="D22" s="8">
        <v>1</v>
      </c>
      <c r="E22" s="8" t="s">
        <v>19</v>
      </c>
      <c r="F22" s="8" t="str">
        <f t="shared" si="1"/>
        <v>021-w01.jpg</v>
      </c>
      <c r="G22" s="8" t="str">
        <f t="shared" si="2"/>
        <v>images/021-w01.jpg</v>
      </c>
      <c r="H22" s="8" t="str">
        <f t="shared" si="3"/>
        <v>https://scholarbo.github.io/soseki-manuscripts/images/021-w01.jpg</v>
      </c>
      <c r="I22" s="8"/>
      <c r="J22" s="8" t="str">
        <f t="shared" si="4"/>
        <v>images/021-w01.jpg</v>
      </c>
      <c r="K22" s="8"/>
      <c r="L22" s="8"/>
      <c r="M22" s="7" t="str">
        <f t="shared" si="5"/>
        <v>021 第1頁</v>
      </c>
      <c r="N22" s="7" t="str">
        <f t="shared" si="6"/>
        <v>manifest-021-w01</v>
      </c>
      <c r="O22" s="7" t="str">
        <f t="shared" si="7"/>
        <v>canvas-021-w01</v>
      </c>
      <c r="P22" s="8" t="s">
        <v>20</v>
      </c>
      <c r="Q22" s="8"/>
    </row>
    <row r="23" spans="1:17" ht="32" customHeight="1" x14ac:dyDescent="0.2">
      <c r="A23" s="7" t="str">
        <f t="shared" si="0"/>
        <v>022-w01-p1</v>
      </c>
      <c r="B23" s="8" t="s">
        <v>41</v>
      </c>
      <c r="C23" s="8" t="s">
        <v>18</v>
      </c>
      <c r="D23" s="8">
        <v>1</v>
      </c>
      <c r="E23" s="8" t="s">
        <v>19</v>
      </c>
      <c r="F23" s="8" t="str">
        <f t="shared" si="1"/>
        <v>022-w01.jpg</v>
      </c>
      <c r="G23" s="8" t="str">
        <f t="shared" si="2"/>
        <v>images/022-w01.jpg</v>
      </c>
      <c r="H23" s="8" t="str">
        <f t="shared" si="3"/>
        <v>https://scholarbo.github.io/soseki-manuscripts/images/022-w01.jpg</v>
      </c>
      <c r="I23" s="8"/>
      <c r="J23" s="8" t="str">
        <f t="shared" si="4"/>
        <v>images/022-w01.jpg</v>
      </c>
      <c r="K23" s="8"/>
      <c r="L23" s="8"/>
      <c r="M23" s="7" t="str">
        <f t="shared" si="5"/>
        <v>022 第1頁</v>
      </c>
      <c r="N23" s="7" t="str">
        <f t="shared" si="6"/>
        <v>manifest-022-w01</v>
      </c>
      <c r="O23" s="7" t="str">
        <f t="shared" si="7"/>
        <v>canvas-022-w01</v>
      </c>
      <c r="P23" s="8" t="s">
        <v>20</v>
      </c>
      <c r="Q23" s="8"/>
    </row>
    <row r="24" spans="1:17" ht="32" customHeight="1" x14ac:dyDescent="0.2">
      <c r="A24" s="7" t="str">
        <f t="shared" si="0"/>
        <v>023-w01-p1</v>
      </c>
      <c r="B24" s="8" t="s">
        <v>42</v>
      </c>
      <c r="C24" s="8" t="s">
        <v>18</v>
      </c>
      <c r="D24" s="8">
        <v>1</v>
      </c>
      <c r="E24" s="8" t="s">
        <v>19</v>
      </c>
      <c r="F24" s="8" t="str">
        <f t="shared" si="1"/>
        <v>023-w01.jpg</v>
      </c>
      <c r="G24" s="8" t="str">
        <f t="shared" si="2"/>
        <v>images/023-w01.jpg</v>
      </c>
      <c r="H24" s="8" t="str">
        <f t="shared" si="3"/>
        <v>https://scholarbo.github.io/soseki-manuscripts/images/023-w01.jpg</v>
      </c>
      <c r="I24" s="8"/>
      <c r="J24" s="8" t="str">
        <f t="shared" si="4"/>
        <v>images/023-w01.jpg</v>
      </c>
      <c r="K24" s="8"/>
      <c r="L24" s="8"/>
      <c r="M24" s="7" t="str">
        <f t="shared" si="5"/>
        <v>023 第1頁</v>
      </c>
      <c r="N24" s="7" t="str">
        <f t="shared" si="6"/>
        <v>manifest-023-w01</v>
      </c>
      <c r="O24" s="7" t="str">
        <f t="shared" si="7"/>
        <v>canvas-023-w01</v>
      </c>
      <c r="P24" s="8" t="s">
        <v>20</v>
      </c>
      <c r="Q24" s="8"/>
    </row>
    <row r="25" spans="1:17" ht="32" customHeight="1" x14ac:dyDescent="0.2">
      <c r="A25" s="7" t="str">
        <f t="shared" si="0"/>
        <v>024-w01-p1</v>
      </c>
      <c r="B25" s="8" t="s">
        <v>43</v>
      </c>
      <c r="C25" s="8" t="s">
        <v>18</v>
      </c>
      <c r="D25" s="8">
        <v>1</v>
      </c>
      <c r="E25" s="8" t="s">
        <v>19</v>
      </c>
      <c r="F25" s="8" t="str">
        <f t="shared" si="1"/>
        <v>024-w01.jpg</v>
      </c>
      <c r="G25" s="8" t="str">
        <f t="shared" si="2"/>
        <v>images/024-w01.jpg</v>
      </c>
      <c r="H25" s="8" t="str">
        <f t="shared" si="3"/>
        <v>https://scholarbo.github.io/soseki-manuscripts/images/024-w01.jpg</v>
      </c>
      <c r="I25" s="8"/>
      <c r="J25" s="8" t="str">
        <f t="shared" si="4"/>
        <v>images/024-w01.jpg</v>
      </c>
      <c r="K25" s="8"/>
      <c r="L25" s="8"/>
      <c r="M25" s="7" t="str">
        <f t="shared" si="5"/>
        <v>024 第1頁</v>
      </c>
      <c r="N25" s="7" t="str">
        <f t="shared" si="6"/>
        <v>manifest-024-w01</v>
      </c>
      <c r="O25" s="7" t="str">
        <f t="shared" si="7"/>
        <v>canvas-024-w01</v>
      </c>
      <c r="P25" s="8" t="s">
        <v>20</v>
      </c>
      <c r="Q25" s="8"/>
    </row>
    <row r="26" spans="1:17" ht="32" customHeight="1" x14ac:dyDescent="0.2">
      <c r="A26" s="7" t="str">
        <f t="shared" si="0"/>
        <v>025-w01-p1</v>
      </c>
      <c r="B26" s="8" t="s">
        <v>44</v>
      </c>
      <c r="C26" s="8" t="s">
        <v>18</v>
      </c>
      <c r="D26" s="8">
        <v>1</v>
      </c>
      <c r="E26" s="8" t="s">
        <v>19</v>
      </c>
      <c r="F26" s="8" t="str">
        <f t="shared" si="1"/>
        <v>025-w01.jpg</v>
      </c>
      <c r="G26" s="8" t="str">
        <f t="shared" si="2"/>
        <v>images/025-w01.jpg</v>
      </c>
      <c r="H26" s="8" t="str">
        <f t="shared" si="3"/>
        <v>https://scholarbo.github.io/soseki-manuscripts/images/025-w01.jpg</v>
      </c>
      <c r="I26" s="8"/>
      <c r="J26" s="8" t="str">
        <f t="shared" si="4"/>
        <v>images/025-w01.jpg</v>
      </c>
      <c r="K26" s="8"/>
      <c r="L26" s="8"/>
      <c r="M26" s="7" t="str">
        <f t="shared" si="5"/>
        <v>025 第1頁</v>
      </c>
      <c r="N26" s="7" t="str">
        <f t="shared" si="6"/>
        <v>manifest-025-w01</v>
      </c>
      <c r="O26" s="7" t="str">
        <f t="shared" si="7"/>
        <v>canvas-025-w01</v>
      </c>
      <c r="P26" s="8" t="s">
        <v>20</v>
      </c>
      <c r="Q26" s="8"/>
    </row>
    <row r="27" spans="1:17" ht="48" customHeight="1" x14ac:dyDescent="0.2">
      <c r="A27" s="7" t="str">
        <f t="shared" si="0"/>
        <v>026-w01-p1</v>
      </c>
      <c r="B27" s="8" t="s">
        <v>45</v>
      </c>
      <c r="C27" s="8" t="s">
        <v>18</v>
      </c>
      <c r="D27" s="8">
        <v>1</v>
      </c>
      <c r="E27" s="8" t="s">
        <v>19</v>
      </c>
      <c r="F27" s="8" t="str">
        <f t="shared" si="1"/>
        <v>026-w01.jpg</v>
      </c>
      <c r="G27" s="8" t="str">
        <f t="shared" si="2"/>
        <v>images/026-w01.jpg</v>
      </c>
      <c r="H27" s="8" t="str">
        <f t="shared" si="3"/>
        <v>https://scholarbo.github.io/soseki-manuscripts/images/026-w01.jpg</v>
      </c>
      <c r="I27" s="8"/>
      <c r="J27" s="8" t="str">
        <f t="shared" si="4"/>
        <v>images/026-w01.jpg</v>
      </c>
      <c r="K27" s="8"/>
      <c r="L27" s="8"/>
      <c r="M27" s="7" t="str">
        <f t="shared" si="5"/>
        <v>026 第1頁</v>
      </c>
      <c r="N27" s="7" t="str">
        <f t="shared" si="6"/>
        <v>manifest-026-w01</v>
      </c>
      <c r="O27" s="7" t="str">
        <f t="shared" si="7"/>
        <v>canvas-026-w01</v>
      </c>
      <c r="P27" s="8" t="s">
        <v>20</v>
      </c>
      <c r="Q27" s="8"/>
    </row>
    <row r="28" spans="1:17" ht="32" customHeight="1" x14ac:dyDescent="0.2">
      <c r="A28" s="7" t="str">
        <f t="shared" si="0"/>
        <v>027-w01-p1</v>
      </c>
      <c r="B28" s="8" t="s">
        <v>46</v>
      </c>
      <c r="C28" s="8" t="s">
        <v>18</v>
      </c>
      <c r="D28" s="8">
        <v>1</v>
      </c>
      <c r="E28" s="8" t="s">
        <v>19</v>
      </c>
      <c r="F28" s="8" t="str">
        <f t="shared" si="1"/>
        <v>027-w01.jpg</v>
      </c>
      <c r="G28" s="8" t="str">
        <f t="shared" si="2"/>
        <v>images/027-w01.jpg</v>
      </c>
      <c r="H28" s="8" t="str">
        <f t="shared" si="3"/>
        <v>https://scholarbo.github.io/soseki-manuscripts/images/027-w01.jpg</v>
      </c>
      <c r="I28" s="8"/>
      <c r="J28" s="8" t="str">
        <f t="shared" si="4"/>
        <v>images/027-w01.jpg</v>
      </c>
      <c r="K28" s="8"/>
      <c r="L28" s="8"/>
      <c r="M28" s="7" t="str">
        <f t="shared" si="5"/>
        <v>027 第1頁</v>
      </c>
      <c r="N28" s="7" t="str">
        <f t="shared" si="6"/>
        <v>manifest-027-w01</v>
      </c>
      <c r="O28" s="7" t="str">
        <f t="shared" si="7"/>
        <v>canvas-027-w01</v>
      </c>
      <c r="P28" s="8" t="s">
        <v>20</v>
      </c>
      <c r="Q28" s="8"/>
    </row>
    <row r="29" spans="1:17" ht="48" customHeight="1" x14ac:dyDescent="0.2">
      <c r="A29" s="7" t="str">
        <f t="shared" si="0"/>
        <v>028-w01-p1</v>
      </c>
      <c r="B29" s="8" t="s">
        <v>47</v>
      </c>
      <c r="C29" s="8" t="s">
        <v>18</v>
      </c>
      <c r="D29" s="8">
        <v>1</v>
      </c>
      <c r="E29" s="8" t="s">
        <v>19</v>
      </c>
      <c r="F29" s="8" t="str">
        <f t="shared" si="1"/>
        <v>028-w01.jpg</v>
      </c>
      <c r="G29" s="8" t="str">
        <f t="shared" si="2"/>
        <v>images/028-w01.jpg</v>
      </c>
      <c r="H29" s="8" t="str">
        <f t="shared" si="3"/>
        <v>https://scholarbo.github.io/soseki-manuscripts/images/028-w01.jpg</v>
      </c>
      <c r="I29" s="8"/>
      <c r="J29" s="8" t="str">
        <f t="shared" si="4"/>
        <v>images/028-w01.jpg</v>
      </c>
      <c r="K29" s="8"/>
      <c r="L29" s="8"/>
      <c r="M29" s="7" t="str">
        <f t="shared" si="5"/>
        <v>028 第1頁</v>
      </c>
      <c r="N29" s="7" t="str">
        <f t="shared" si="6"/>
        <v>manifest-028-w01</v>
      </c>
      <c r="O29" s="7" t="str">
        <f t="shared" si="7"/>
        <v>canvas-028-w01</v>
      </c>
      <c r="P29" s="8" t="s">
        <v>20</v>
      </c>
      <c r="Q29" s="8"/>
    </row>
    <row r="30" spans="1:17" ht="32" customHeight="1" x14ac:dyDescent="0.2">
      <c r="A30" s="7" t="str">
        <f t="shared" si="0"/>
        <v>029-w01-p1</v>
      </c>
      <c r="B30" s="8" t="s">
        <v>48</v>
      </c>
      <c r="C30" s="8" t="s">
        <v>18</v>
      </c>
      <c r="D30" s="8">
        <v>1</v>
      </c>
      <c r="E30" s="8" t="s">
        <v>19</v>
      </c>
      <c r="F30" s="8" t="str">
        <f t="shared" si="1"/>
        <v>029-w01.jpg</v>
      </c>
      <c r="G30" s="8" t="str">
        <f t="shared" si="2"/>
        <v>images/029-w01.jpg</v>
      </c>
      <c r="H30" s="8" t="str">
        <f t="shared" si="3"/>
        <v>https://scholarbo.github.io/soseki-manuscripts/images/029-w01.jpg</v>
      </c>
      <c r="I30" s="8"/>
      <c r="J30" s="8" t="str">
        <f t="shared" si="4"/>
        <v>images/029-w01.jpg</v>
      </c>
      <c r="K30" s="8"/>
      <c r="L30" s="8"/>
      <c r="M30" s="7" t="str">
        <f t="shared" si="5"/>
        <v>029 第1頁</v>
      </c>
      <c r="N30" s="7" t="str">
        <f t="shared" si="6"/>
        <v>manifest-029-w01</v>
      </c>
      <c r="O30" s="7" t="str">
        <f t="shared" si="7"/>
        <v>canvas-029-w01</v>
      </c>
      <c r="P30" s="8" t="s">
        <v>20</v>
      </c>
      <c r="Q30" s="8"/>
    </row>
    <row r="31" spans="1:17" ht="32" customHeight="1" x14ac:dyDescent="0.2">
      <c r="A31" s="7" t="str">
        <f t="shared" si="0"/>
        <v>030-w01-p1</v>
      </c>
      <c r="B31" s="8" t="s">
        <v>49</v>
      </c>
      <c r="C31" s="8" t="s">
        <v>18</v>
      </c>
      <c r="D31" s="8">
        <v>1</v>
      </c>
      <c r="E31" s="8" t="s">
        <v>19</v>
      </c>
      <c r="F31" s="8" t="str">
        <f t="shared" si="1"/>
        <v>030-w01.jpg</v>
      </c>
      <c r="G31" s="8" t="str">
        <f t="shared" si="2"/>
        <v>images/030-w01.jpg</v>
      </c>
      <c r="H31" s="8" t="str">
        <f t="shared" si="3"/>
        <v>https://scholarbo.github.io/soseki-manuscripts/images/030-w01.jpg</v>
      </c>
      <c r="I31" s="8"/>
      <c r="J31" s="8" t="str">
        <f t="shared" si="4"/>
        <v>images/030-w01.jpg</v>
      </c>
      <c r="K31" s="8"/>
      <c r="L31" s="8"/>
      <c r="M31" s="7" t="str">
        <f t="shared" si="5"/>
        <v>030 第1頁</v>
      </c>
      <c r="N31" s="7" t="str">
        <f t="shared" si="6"/>
        <v>manifest-030-w01</v>
      </c>
      <c r="O31" s="7" t="str">
        <f t="shared" si="7"/>
        <v>canvas-030-w01</v>
      </c>
      <c r="P31" s="8" t="s">
        <v>20</v>
      </c>
      <c r="Q31" s="8"/>
    </row>
    <row r="32" spans="1:17" ht="32" customHeight="1" x14ac:dyDescent="0.2">
      <c r="A32" s="7" t="str">
        <f t="shared" si="0"/>
        <v>031-w01-p1</v>
      </c>
      <c r="B32" s="8" t="s">
        <v>50</v>
      </c>
      <c r="C32" s="8" t="s">
        <v>18</v>
      </c>
      <c r="D32" s="8">
        <v>1</v>
      </c>
      <c r="E32" s="8" t="s">
        <v>19</v>
      </c>
      <c r="F32" s="8" t="str">
        <f t="shared" si="1"/>
        <v>031-w01.jpg</v>
      </c>
      <c r="G32" s="8" t="str">
        <f t="shared" si="2"/>
        <v>images/031-w01.jpg</v>
      </c>
      <c r="H32" s="8" t="str">
        <f t="shared" si="3"/>
        <v>https://scholarbo.github.io/soseki-manuscripts/images/031-w01.jpg</v>
      </c>
      <c r="I32" s="8"/>
      <c r="J32" s="8" t="str">
        <f t="shared" si="4"/>
        <v>images/031-w01.jpg</v>
      </c>
      <c r="K32" s="8"/>
      <c r="L32" s="8"/>
      <c r="M32" s="7" t="str">
        <f t="shared" si="5"/>
        <v>031 第1頁</v>
      </c>
      <c r="N32" s="7" t="str">
        <f t="shared" si="6"/>
        <v>manifest-031-w01</v>
      </c>
      <c r="O32" s="7" t="str">
        <f t="shared" si="7"/>
        <v>canvas-031-w01</v>
      </c>
      <c r="P32" s="8" t="s">
        <v>20</v>
      </c>
      <c r="Q32" s="8"/>
    </row>
    <row r="33" spans="1:17" ht="32" customHeight="1" x14ac:dyDescent="0.2">
      <c r="A33" s="7" t="str">
        <f t="shared" si="0"/>
        <v>032-w01-p1</v>
      </c>
      <c r="B33" s="8" t="s">
        <v>51</v>
      </c>
      <c r="C33" s="8" t="s">
        <v>18</v>
      </c>
      <c r="D33" s="8">
        <v>1</v>
      </c>
      <c r="E33" s="8" t="s">
        <v>19</v>
      </c>
      <c r="F33" s="8" t="str">
        <f t="shared" si="1"/>
        <v>032-w01.jpg</v>
      </c>
      <c r="G33" s="8" t="str">
        <f t="shared" si="2"/>
        <v>images/032-w01.jpg</v>
      </c>
      <c r="H33" s="8" t="str">
        <f t="shared" si="3"/>
        <v>https://scholarbo.github.io/soseki-manuscripts/images/032-w01.jpg</v>
      </c>
      <c r="I33" s="8"/>
      <c r="J33" s="8" t="str">
        <f t="shared" si="4"/>
        <v>images/032-w01.jpg</v>
      </c>
      <c r="K33" s="8"/>
      <c r="L33" s="8"/>
      <c r="M33" s="7" t="str">
        <f t="shared" si="5"/>
        <v>032 第1頁</v>
      </c>
      <c r="N33" s="7" t="str">
        <f t="shared" si="6"/>
        <v>manifest-032-w01</v>
      </c>
      <c r="O33" s="7" t="str">
        <f t="shared" si="7"/>
        <v>canvas-032-w01</v>
      </c>
      <c r="P33" s="8" t="s">
        <v>20</v>
      </c>
      <c r="Q33" s="8"/>
    </row>
    <row r="34" spans="1:17" ht="32" customHeight="1" x14ac:dyDescent="0.2">
      <c r="A34" s="7" t="str">
        <f t="shared" si="0"/>
        <v>033-w01-p1</v>
      </c>
      <c r="B34" s="8" t="s">
        <v>52</v>
      </c>
      <c r="C34" s="8" t="s">
        <v>18</v>
      </c>
      <c r="D34" s="8">
        <v>1</v>
      </c>
      <c r="E34" s="8" t="s">
        <v>19</v>
      </c>
      <c r="F34" s="8" t="str">
        <f t="shared" si="1"/>
        <v>033-w01.jpg</v>
      </c>
      <c r="G34" s="8" t="str">
        <f t="shared" si="2"/>
        <v>images/033-w01.jpg</v>
      </c>
      <c r="H34" s="8" t="str">
        <f t="shared" si="3"/>
        <v>https://scholarbo.github.io/soseki-manuscripts/images/033-w01.jpg</v>
      </c>
      <c r="I34" s="8"/>
      <c r="J34" s="8" t="str">
        <f t="shared" si="4"/>
        <v>images/033-w01.jpg</v>
      </c>
      <c r="K34" s="8"/>
      <c r="L34" s="8"/>
      <c r="M34" s="7" t="str">
        <f t="shared" si="5"/>
        <v>033 第1頁</v>
      </c>
      <c r="N34" s="7" t="str">
        <f t="shared" si="6"/>
        <v>manifest-033-w01</v>
      </c>
      <c r="O34" s="7" t="str">
        <f t="shared" si="7"/>
        <v>canvas-033-w01</v>
      </c>
      <c r="P34" s="8" t="s">
        <v>20</v>
      </c>
      <c r="Q34" s="8"/>
    </row>
    <row r="35" spans="1:17" ht="32" customHeight="1" x14ac:dyDescent="0.2">
      <c r="A35" s="7" t="str">
        <f t="shared" si="0"/>
        <v>034-w01-p1</v>
      </c>
      <c r="B35" s="8" t="s">
        <v>53</v>
      </c>
      <c r="C35" s="8" t="s">
        <v>18</v>
      </c>
      <c r="D35" s="8">
        <v>1</v>
      </c>
      <c r="E35" s="8" t="s">
        <v>19</v>
      </c>
      <c r="F35" s="8" t="str">
        <f t="shared" si="1"/>
        <v>034-w01.jpg</v>
      </c>
      <c r="G35" s="8" t="str">
        <f t="shared" si="2"/>
        <v>images/034-w01.jpg</v>
      </c>
      <c r="H35" s="8" t="str">
        <f t="shared" si="3"/>
        <v>https://scholarbo.github.io/soseki-manuscripts/images/034-w01.jpg</v>
      </c>
      <c r="I35" s="8"/>
      <c r="J35" s="8" t="str">
        <f t="shared" si="4"/>
        <v>images/034-w01.jpg</v>
      </c>
      <c r="K35" s="8"/>
      <c r="L35" s="8"/>
      <c r="M35" s="7" t="str">
        <f t="shared" si="5"/>
        <v>034 第1頁</v>
      </c>
      <c r="N35" s="7" t="str">
        <f t="shared" si="6"/>
        <v>manifest-034-w01</v>
      </c>
      <c r="O35" s="7" t="str">
        <f t="shared" si="7"/>
        <v>canvas-034-w01</v>
      </c>
      <c r="P35" s="8" t="s">
        <v>20</v>
      </c>
      <c r="Q35" s="8"/>
    </row>
    <row r="36" spans="1:17" ht="32" customHeight="1" x14ac:dyDescent="0.2">
      <c r="A36" s="7" t="str">
        <f t="shared" si="0"/>
        <v>035-w01-p1</v>
      </c>
      <c r="B36" s="8" t="s">
        <v>54</v>
      </c>
      <c r="C36" s="8" t="s">
        <v>18</v>
      </c>
      <c r="D36" s="8">
        <v>1</v>
      </c>
      <c r="E36" s="8" t="s">
        <v>19</v>
      </c>
      <c r="F36" s="8" t="str">
        <f t="shared" si="1"/>
        <v>035-w01.jpg</v>
      </c>
      <c r="G36" s="8" t="str">
        <f t="shared" si="2"/>
        <v>images/035-w01.jpg</v>
      </c>
      <c r="H36" s="8" t="str">
        <f t="shared" si="3"/>
        <v>https://scholarbo.github.io/soseki-manuscripts/images/035-w01.jpg</v>
      </c>
      <c r="I36" s="8"/>
      <c r="J36" s="8" t="str">
        <f t="shared" si="4"/>
        <v>images/035-w01.jpg</v>
      </c>
      <c r="K36" s="8"/>
      <c r="L36" s="8"/>
      <c r="M36" s="7" t="str">
        <f t="shared" si="5"/>
        <v>035 第1頁</v>
      </c>
      <c r="N36" s="7" t="str">
        <f t="shared" si="6"/>
        <v>manifest-035-w01</v>
      </c>
      <c r="O36" s="7" t="str">
        <f t="shared" si="7"/>
        <v>canvas-035-w01</v>
      </c>
      <c r="P36" s="8" t="s">
        <v>20</v>
      </c>
      <c r="Q36" s="8"/>
    </row>
    <row r="37" spans="1:17" ht="32" customHeight="1" x14ac:dyDescent="0.2">
      <c r="A37" s="7" t="str">
        <f t="shared" si="0"/>
        <v>036-w01-p1</v>
      </c>
      <c r="B37" s="8" t="s">
        <v>55</v>
      </c>
      <c r="C37" s="8" t="s">
        <v>18</v>
      </c>
      <c r="D37" s="8">
        <v>1</v>
      </c>
      <c r="E37" s="8" t="s">
        <v>19</v>
      </c>
      <c r="F37" s="8" t="str">
        <f t="shared" si="1"/>
        <v>036-w01.jpg</v>
      </c>
      <c r="G37" s="8" t="str">
        <f t="shared" si="2"/>
        <v>images/036-w01.jpg</v>
      </c>
      <c r="H37" s="8" t="str">
        <f t="shared" si="3"/>
        <v>https://scholarbo.github.io/soseki-manuscripts/images/036-w01.jpg</v>
      </c>
      <c r="I37" s="8"/>
      <c r="J37" s="8" t="str">
        <f t="shared" si="4"/>
        <v>images/036-w01.jpg</v>
      </c>
      <c r="K37" s="8"/>
      <c r="L37" s="8"/>
      <c r="M37" s="7" t="str">
        <f t="shared" si="5"/>
        <v>036 第1頁</v>
      </c>
      <c r="N37" s="7" t="str">
        <f t="shared" si="6"/>
        <v>manifest-036-w01</v>
      </c>
      <c r="O37" s="7" t="str">
        <f t="shared" si="7"/>
        <v>canvas-036-w01</v>
      </c>
      <c r="P37" s="8" t="s">
        <v>20</v>
      </c>
      <c r="Q37" s="8"/>
    </row>
    <row r="38" spans="1:17" ht="32" customHeight="1" x14ac:dyDescent="0.2">
      <c r="A38" s="7" t="str">
        <f t="shared" si="0"/>
        <v>037-w01-p1</v>
      </c>
      <c r="B38" s="8" t="s">
        <v>56</v>
      </c>
      <c r="C38" s="8" t="s">
        <v>18</v>
      </c>
      <c r="D38" s="8">
        <v>1</v>
      </c>
      <c r="E38" s="8" t="s">
        <v>19</v>
      </c>
      <c r="F38" s="8" t="str">
        <f t="shared" si="1"/>
        <v>037-w01.jpg</v>
      </c>
      <c r="G38" s="8" t="str">
        <f t="shared" si="2"/>
        <v>images/037-w01.jpg</v>
      </c>
      <c r="H38" s="8" t="str">
        <f t="shared" si="3"/>
        <v>https://scholarbo.github.io/soseki-manuscripts/images/037-w01.jpg</v>
      </c>
      <c r="I38" s="8"/>
      <c r="J38" s="8" t="str">
        <f t="shared" si="4"/>
        <v>images/037-w01.jpg</v>
      </c>
      <c r="K38" s="8"/>
      <c r="L38" s="8"/>
      <c r="M38" s="7" t="str">
        <f t="shared" si="5"/>
        <v>037 第1頁</v>
      </c>
      <c r="N38" s="7" t="str">
        <f t="shared" si="6"/>
        <v>manifest-037-w01</v>
      </c>
      <c r="O38" s="7" t="str">
        <f t="shared" si="7"/>
        <v>canvas-037-w01</v>
      </c>
      <c r="P38" s="8" t="s">
        <v>20</v>
      </c>
      <c r="Q38" s="8"/>
    </row>
    <row r="39" spans="1:17" ht="32" customHeight="1" x14ac:dyDescent="0.2">
      <c r="A39" s="7" t="str">
        <f t="shared" si="0"/>
        <v>038-w01-p1</v>
      </c>
      <c r="B39" s="8" t="s">
        <v>57</v>
      </c>
      <c r="C39" s="8" t="s">
        <v>18</v>
      </c>
      <c r="D39" s="8">
        <v>1</v>
      </c>
      <c r="E39" s="8" t="s">
        <v>19</v>
      </c>
      <c r="F39" s="8" t="str">
        <f t="shared" si="1"/>
        <v>038-w01.jpg</v>
      </c>
      <c r="G39" s="8" t="str">
        <f t="shared" si="2"/>
        <v>images/038-w01.jpg</v>
      </c>
      <c r="H39" s="8" t="str">
        <f t="shared" si="3"/>
        <v>https://scholarbo.github.io/soseki-manuscripts/images/038-w01.jpg</v>
      </c>
      <c r="I39" s="8"/>
      <c r="J39" s="8" t="str">
        <f t="shared" si="4"/>
        <v>images/038-w01.jpg</v>
      </c>
      <c r="K39" s="8"/>
      <c r="L39" s="8"/>
      <c r="M39" s="7" t="str">
        <f t="shared" si="5"/>
        <v>038 第1頁</v>
      </c>
      <c r="N39" s="7" t="str">
        <f t="shared" si="6"/>
        <v>manifest-038-w01</v>
      </c>
      <c r="O39" s="7" t="str">
        <f t="shared" si="7"/>
        <v>canvas-038-w01</v>
      </c>
      <c r="P39" s="8" t="s">
        <v>20</v>
      </c>
      <c r="Q39" s="8"/>
    </row>
    <row r="40" spans="1:17" ht="32" customHeight="1" x14ac:dyDescent="0.2">
      <c r="A40" s="7" t="str">
        <f t="shared" si="0"/>
        <v>039-w01-p1</v>
      </c>
      <c r="B40" s="8" t="s">
        <v>58</v>
      </c>
      <c r="C40" s="8" t="s">
        <v>18</v>
      </c>
      <c r="D40" s="8">
        <v>1</v>
      </c>
      <c r="E40" s="8" t="s">
        <v>19</v>
      </c>
      <c r="F40" s="8" t="str">
        <f t="shared" si="1"/>
        <v>039-w01.jpg</v>
      </c>
      <c r="G40" s="8" t="str">
        <f t="shared" si="2"/>
        <v>images/039-w01.jpg</v>
      </c>
      <c r="H40" s="8" t="str">
        <f t="shared" si="3"/>
        <v>https://scholarbo.github.io/soseki-manuscripts/images/039-w01.jpg</v>
      </c>
      <c r="I40" s="8"/>
      <c r="J40" s="8" t="str">
        <f t="shared" si="4"/>
        <v>images/039-w01.jpg</v>
      </c>
      <c r="K40" s="8"/>
      <c r="L40" s="8"/>
      <c r="M40" s="7" t="str">
        <f t="shared" si="5"/>
        <v>039 第1頁</v>
      </c>
      <c r="N40" s="7" t="str">
        <f t="shared" si="6"/>
        <v>manifest-039-w01</v>
      </c>
      <c r="O40" s="7" t="str">
        <f t="shared" si="7"/>
        <v>canvas-039-w01</v>
      </c>
      <c r="P40" s="8" t="s">
        <v>20</v>
      </c>
      <c r="Q40" s="8"/>
    </row>
    <row r="41" spans="1:17" ht="32" customHeight="1" x14ac:dyDescent="0.2">
      <c r="A41" s="7" t="str">
        <f t="shared" si="0"/>
        <v>040-w01-p1</v>
      </c>
      <c r="B41" s="8" t="s">
        <v>59</v>
      </c>
      <c r="C41" s="8" t="s">
        <v>18</v>
      </c>
      <c r="D41" s="8">
        <v>1</v>
      </c>
      <c r="E41" s="8" t="s">
        <v>19</v>
      </c>
      <c r="F41" s="8" t="str">
        <f t="shared" si="1"/>
        <v>040-w01.jpg</v>
      </c>
      <c r="G41" s="8" t="str">
        <f t="shared" si="2"/>
        <v>images/040-w01.jpg</v>
      </c>
      <c r="H41" s="8" t="str">
        <f t="shared" si="3"/>
        <v>https://scholarbo.github.io/soseki-manuscripts/images/040-w01.jpg</v>
      </c>
      <c r="I41" s="8"/>
      <c r="J41" s="8" t="str">
        <f t="shared" si="4"/>
        <v>images/040-w01.jpg</v>
      </c>
      <c r="K41" s="8"/>
      <c r="L41" s="8"/>
      <c r="M41" s="7" t="str">
        <f t="shared" si="5"/>
        <v>040 第1頁</v>
      </c>
      <c r="N41" s="7" t="str">
        <f t="shared" si="6"/>
        <v>manifest-040-w01</v>
      </c>
      <c r="O41" s="7" t="str">
        <f t="shared" si="7"/>
        <v>canvas-040-w01</v>
      </c>
      <c r="P41" s="8" t="s">
        <v>20</v>
      </c>
      <c r="Q41" s="8"/>
    </row>
    <row r="42" spans="1:17" ht="32" customHeight="1" x14ac:dyDescent="0.2">
      <c r="A42" s="7" t="str">
        <f t="shared" si="0"/>
        <v>041-w01-p1</v>
      </c>
      <c r="B42" s="8" t="s">
        <v>60</v>
      </c>
      <c r="C42" s="8" t="s">
        <v>18</v>
      </c>
      <c r="D42" s="8">
        <v>1</v>
      </c>
      <c r="E42" s="8" t="s">
        <v>19</v>
      </c>
      <c r="F42" s="8" t="str">
        <f t="shared" si="1"/>
        <v>041-w01.jpg</v>
      </c>
      <c r="G42" s="8" t="str">
        <f t="shared" si="2"/>
        <v>images/041-w01.jpg</v>
      </c>
      <c r="H42" s="8" t="str">
        <f t="shared" si="3"/>
        <v>https://scholarbo.github.io/soseki-manuscripts/images/041-w01.jpg</v>
      </c>
      <c r="I42" s="8"/>
      <c r="J42" s="8" t="str">
        <f t="shared" si="4"/>
        <v>images/041-w01.jpg</v>
      </c>
      <c r="K42" s="8"/>
      <c r="L42" s="8"/>
      <c r="M42" s="7" t="str">
        <f t="shared" si="5"/>
        <v>041 第1頁</v>
      </c>
      <c r="N42" s="7" t="str">
        <f t="shared" si="6"/>
        <v>manifest-041-w01</v>
      </c>
      <c r="O42" s="7" t="str">
        <f t="shared" si="7"/>
        <v>canvas-041-w01</v>
      </c>
      <c r="P42" s="8" t="s">
        <v>20</v>
      </c>
      <c r="Q42" s="8"/>
    </row>
    <row r="43" spans="1:17" ht="32" customHeight="1" x14ac:dyDescent="0.2">
      <c r="A43" s="7" t="str">
        <f t="shared" si="0"/>
        <v>042-w01-p1</v>
      </c>
      <c r="B43" s="8" t="s">
        <v>61</v>
      </c>
      <c r="C43" s="8" t="s">
        <v>18</v>
      </c>
      <c r="D43" s="8">
        <v>1</v>
      </c>
      <c r="E43" s="8" t="s">
        <v>19</v>
      </c>
      <c r="F43" s="8" t="str">
        <f t="shared" si="1"/>
        <v>042-w01.jpg</v>
      </c>
      <c r="G43" s="8" t="str">
        <f t="shared" si="2"/>
        <v>images/042-w01.jpg</v>
      </c>
      <c r="H43" s="8" t="str">
        <f t="shared" si="3"/>
        <v>https://scholarbo.github.io/soseki-manuscripts/images/042-w01.jpg</v>
      </c>
      <c r="I43" s="8"/>
      <c r="J43" s="8" t="str">
        <f t="shared" si="4"/>
        <v>images/042-w01.jpg</v>
      </c>
      <c r="K43" s="8"/>
      <c r="L43" s="8"/>
      <c r="M43" s="7" t="str">
        <f t="shared" si="5"/>
        <v>042 第1頁</v>
      </c>
      <c r="N43" s="7" t="str">
        <f t="shared" si="6"/>
        <v>manifest-042-w01</v>
      </c>
      <c r="O43" s="7" t="str">
        <f t="shared" si="7"/>
        <v>canvas-042-w01</v>
      </c>
      <c r="P43" s="8" t="s">
        <v>20</v>
      </c>
      <c r="Q43" s="8"/>
    </row>
    <row r="44" spans="1:17" ht="32" customHeight="1" x14ac:dyDescent="0.2">
      <c r="A44" s="7" t="str">
        <f t="shared" si="0"/>
        <v>043-w01-p1</v>
      </c>
      <c r="B44" s="8" t="s">
        <v>62</v>
      </c>
      <c r="C44" s="8" t="s">
        <v>18</v>
      </c>
      <c r="D44" s="8">
        <v>1</v>
      </c>
      <c r="E44" s="8" t="s">
        <v>19</v>
      </c>
      <c r="F44" s="8" t="str">
        <f t="shared" si="1"/>
        <v>043-w01.jpg</v>
      </c>
      <c r="G44" s="8" t="str">
        <f t="shared" si="2"/>
        <v>images/043-w01.jpg</v>
      </c>
      <c r="H44" s="8" t="str">
        <f t="shared" si="3"/>
        <v>https://scholarbo.github.io/soseki-manuscripts/images/043-w01.jpg</v>
      </c>
      <c r="I44" s="8"/>
      <c r="J44" s="8" t="str">
        <f t="shared" si="4"/>
        <v>images/043-w01.jpg</v>
      </c>
      <c r="K44" s="8"/>
      <c r="L44" s="8"/>
      <c r="M44" s="7" t="str">
        <f t="shared" si="5"/>
        <v>043 第1頁</v>
      </c>
      <c r="N44" s="7" t="str">
        <f t="shared" si="6"/>
        <v>manifest-043-w01</v>
      </c>
      <c r="O44" s="7" t="str">
        <f t="shared" si="7"/>
        <v>canvas-043-w01</v>
      </c>
      <c r="P44" s="8" t="s">
        <v>20</v>
      </c>
      <c r="Q44" s="8"/>
    </row>
    <row r="45" spans="1:17" ht="32" customHeight="1" x14ac:dyDescent="0.2">
      <c r="A45" s="7" t="str">
        <f t="shared" si="0"/>
        <v>044-w01-p1</v>
      </c>
      <c r="B45" s="8" t="s">
        <v>63</v>
      </c>
      <c r="C45" s="8" t="s">
        <v>18</v>
      </c>
      <c r="D45" s="8">
        <v>1</v>
      </c>
      <c r="E45" s="8" t="s">
        <v>19</v>
      </c>
      <c r="F45" s="8" t="str">
        <f t="shared" si="1"/>
        <v>044-w01.jpg</v>
      </c>
      <c r="G45" s="8" t="str">
        <f t="shared" si="2"/>
        <v>images/044-w01.jpg</v>
      </c>
      <c r="H45" s="8" t="str">
        <f t="shared" si="3"/>
        <v>https://scholarbo.github.io/soseki-manuscripts/images/044-w01.jpg</v>
      </c>
      <c r="I45" s="8"/>
      <c r="J45" s="8" t="str">
        <f t="shared" si="4"/>
        <v>images/044-w01.jpg</v>
      </c>
      <c r="K45" s="8"/>
      <c r="L45" s="8"/>
      <c r="M45" s="7" t="str">
        <f t="shared" si="5"/>
        <v>044 第1頁</v>
      </c>
      <c r="N45" s="7" t="str">
        <f t="shared" si="6"/>
        <v>manifest-044-w01</v>
      </c>
      <c r="O45" s="7" t="str">
        <f t="shared" si="7"/>
        <v>canvas-044-w01</v>
      </c>
      <c r="P45" s="8" t="s">
        <v>20</v>
      </c>
      <c r="Q45" s="8"/>
    </row>
    <row r="46" spans="1:17" ht="32" customHeight="1" x14ac:dyDescent="0.2">
      <c r="A46" s="7" t="str">
        <f t="shared" si="0"/>
        <v>045-w01-p1</v>
      </c>
      <c r="B46" s="8" t="s">
        <v>64</v>
      </c>
      <c r="C46" s="8" t="s">
        <v>18</v>
      </c>
      <c r="D46" s="8">
        <v>1</v>
      </c>
      <c r="E46" s="8" t="s">
        <v>19</v>
      </c>
      <c r="F46" s="8" t="str">
        <f t="shared" si="1"/>
        <v>045-w01.jpg</v>
      </c>
      <c r="G46" s="8" t="str">
        <f t="shared" si="2"/>
        <v>images/045-w01.jpg</v>
      </c>
      <c r="H46" s="8" t="str">
        <f t="shared" si="3"/>
        <v>https://scholarbo.github.io/soseki-manuscripts/images/045-w01.jpg</v>
      </c>
      <c r="I46" s="8"/>
      <c r="J46" s="8" t="str">
        <f t="shared" si="4"/>
        <v>images/045-w01.jpg</v>
      </c>
      <c r="K46" s="8"/>
      <c r="L46" s="8"/>
      <c r="M46" s="7" t="str">
        <f t="shared" si="5"/>
        <v>045 第1頁</v>
      </c>
      <c r="N46" s="7" t="str">
        <f t="shared" si="6"/>
        <v>manifest-045-w01</v>
      </c>
      <c r="O46" s="7" t="str">
        <f t="shared" si="7"/>
        <v>canvas-045-w01</v>
      </c>
      <c r="P46" s="8" t="s">
        <v>20</v>
      </c>
      <c r="Q46" s="8"/>
    </row>
    <row r="47" spans="1:17" ht="32" customHeight="1" x14ac:dyDescent="0.2">
      <c r="A47" s="7" t="str">
        <f t="shared" si="0"/>
        <v>046-w01-p1</v>
      </c>
      <c r="B47" s="8" t="s">
        <v>65</v>
      </c>
      <c r="C47" s="8" t="s">
        <v>18</v>
      </c>
      <c r="D47" s="8">
        <v>1</v>
      </c>
      <c r="E47" s="8" t="s">
        <v>19</v>
      </c>
      <c r="F47" s="8" t="str">
        <f t="shared" si="1"/>
        <v>046-w01.jpg</v>
      </c>
      <c r="G47" s="8" t="str">
        <f t="shared" si="2"/>
        <v>images/046-w01.jpg</v>
      </c>
      <c r="H47" s="8" t="str">
        <f t="shared" si="3"/>
        <v>https://scholarbo.github.io/soseki-manuscripts/images/046-w01.jpg</v>
      </c>
      <c r="I47" s="8"/>
      <c r="J47" s="8" t="str">
        <f t="shared" si="4"/>
        <v>images/046-w01.jpg</v>
      </c>
      <c r="K47" s="8"/>
      <c r="L47" s="8"/>
      <c r="M47" s="7" t="str">
        <f t="shared" si="5"/>
        <v>046 第1頁</v>
      </c>
      <c r="N47" s="7" t="str">
        <f t="shared" si="6"/>
        <v>manifest-046-w01</v>
      </c>
      <c r="O47" s="7" t="str">
        <f t="shared" si="7"/>
        <v>canvas-046-w01</v>
      </c>
      <c r="P47" s="8" t="s">
        <v>20</v>
      </c>
      <c r="Q47" s="8"/>
    </row>
    <row r="48" spans="1:17" ht="32" customHeight="1" x14ac:dyDescent="0.2">
      <c r="A48" s="7" t="str">
        <f t="shared" si="0"/>
        <v>047-w01-p1</v>
      </c>
      <c r="B48" s="8" t="s">
        <v>66</v>
      </c>
      <c r="C48" s="8" t="s">
        <v>18</v>
      </c>
      <c r="D48" s="8">
        <v>1</v>
      </c>
      <c r="E48" s="8" t="s">
        <v>19</v>
      </c>
      <c r="F48" s="8" t="str">
        <f t="shared" si="1"/>
        <v>047-w01.jpg</v>
      </c>
      <c r="G48" s="8" t="str">
        <f t="shared" si="2"/>
        <v>images/047-w01.jpg</v>
      </c>
      <c r="H48" s="8" t="str">
        <f t="shared" si="3"/>
        <v>https://scholarbo.github.io/soseki-manuscripts/images/047-w01.jpg</v>
      </c>
      <c r="I48" s="8"/>
      <c r="J48" s="8" t="str">
        <f t="shared" si="4"/>
        <v>images/047-w01.jpg</v>
      </c>
      <c r="K48" s="8"/>
      <c r="L48" s="8"/>
      <c r="M48" s="7" t="str">
        <f t="shared" si="5"/>
        <v>047 第1頁</v>
      </c>
      <c r="N48" s="7" t="str">
        <f t="shared" si="6"/>
        <v>manifest-047-w01</v>
      </c>
      <c r="O48" s="7" t="str">
        <f t="shared" si="7"/>
        <v>canvas-047-w01</v>
      </c>
      <c r="P48" s="8" t="s">
        <v>20</v>
      </c>
      <c r="Q48" s="8"/>
    </row>
    <row r="49" spans="1:17" ht="32" customHeight="1" x14ac:dyDescent="0.2">
      <c r="A49" s="7" t="str">
        <f t="shared" si="0"/>
        <v>048-w01-p1</v>
      </c>
      <c r="B49" s="8" t="s">
        <v>67</v>
      </c>
      <c r="C49" s="8" t="s">
        <v>18</v>
      </c>
      <c r="D49" s="8">
        <v>1</v>
      </c>
      <c r="E49" s="8" t="s">
        <v>19</v>
      </c>
      <c r="F49" s="8" t="str">
        <f t="shared" si="1"/>
        <v>048-w01.jpg</v>
      </c>
      <c r="G49" s="8" t="str">
        <f t="shared" si="2"/>
        <v>images/048-w01.jpg</v>
      </c>
      <c r="H49" s="8" t="str">
        <f t="shared" si="3"/>
        <v>https://scholarbo.github.io/soseki-manuscripts/images/048-w01.jpg</v>
      </c>
      <c r="I49" s="8"/>
      <c r="J49" s="8" t="str">
        <f t="shared" si="4"/>
        <v>images/048-w01.jpg</v>
      </c>
      <c r="K49" s="8"/>
      <c r="L49" s="8"/>
      <c r="M49" s="7" t="str">
        <f t="shared" si="5"/>
        <v>048 第1頁</v>
      </c>
      <c r="N49" s="7" t="str">
        <f t="shared" si="6"/>
        <v>manifest-048-w01</v>
      </c>
      <c r="O49" s="7" t="str">
        <f t="shared" si="7"/>
        <v>canvas-048-w01</v>
      </c>
      <c r="P49" s="8" t="s">
        <v>20</v>
      </c>
      <c r="Q49" s="8"/>
    </row>
    <row r="50" spans="1:17" ht="48" customHeight="1" x14ac:dyDescent="0.2">
      <c r="A50" s="7" t="str">
        <f t="shared" si="0"/>
        <v>049-w01-p1</v>
      </c>
      <c r="B50" s="8" t="s">
        <v>68</v>
      </c>
      <c r="C50" s="8" t="s">
        <v>18</v>
      </c>
      <c r="D50" s="8">
        <v>1</v>
      </c>
      <c r="E50" s="8" t="s">
        <v>19</v>
      </c>
      <c r="F50" s="8" t="str">
        <f t="shared" si="1"/>
        <v>049-w01.jpg</v>
      </c>
      <c r="G50" s="8" t="str">
        <f t="shared" si="2"/>
        <v>images/049-w01.jpg</v>
      </c>
      <c r="H50" s="8" t="str">
        <f t="shared" si="3"/>
        <v>https://scholarbo.github.io/soseki-manuscripts/images/049-w01.jpg</v>
      </c>
      <c r="I50" s="8"/>
      <c r="J50" s="8" t="str">
        <f t="shared" si="4"/>
        <v>images/049-w01.jpg</v>
      </c>
      <c r="K50" s="8"/>
      <c r="L50" s="8"/>
      <c r="M50" s="7" t="str">
        <f t="shared" si="5"/>
        <v>049 第1頁</v>
      </c>
      <c r="N50" s="7" t="str">
        <f t="shared" si="6"/>
        <v>manifest-049-w01</v>
      </c>
      <c r="O50" s="7" t="str">
        <f t="shared" si="7"/>
        <v>canvas-049-w01</v>
      </c>
      <c r="P50" s="8" t="s">
        <v>20</v>
      </c>
      <c r="Q50" s="8"/>
    </row>
    <row r="51" spans="1:17" ht="32" customHeight="1" x14ac:dyDescent="0.2">
      <c r="A51" s="7" t="str">
        <f t="shared" si="0"/>
        <v>050-w01-p1</v>
      </c>
      <c r="B51" s="8" t="s">
        <v>69</v>
      </c>
      <c r="C51" s="8" t="s">
        <v>18</v>
      </c>
      <c r="D51" s="8">
        <v>1</v>
      </c>
      <c r="E51" s="8" t="s">
        <v>19</v>
      </c>
      <c r="F51" s="8" t="str">
        <f t="shared" si="1"/>
        <v>050-w01.jpg</v>
      </c>
      <c r="G51" s="8" t="str">
        <f t="shared" si="2"/>
        <v>images/050-w01.jpg</v>
      </c>
      <c r="H51" s="8" t="str">
        <f t="shared" si="3"/>
        <v>https://scholarbo.github.io/soseki-manuscripts/images/050-w01.jpg</v>
      </c>
      <c r="I51" s="8"/>
      <c r="J51" s="8" t="str">
        <f t="shared" si="4"/>
        <v>images/050-w01.jpg</v>
      </c>
      <c r="K51" s="8"/>
      <c r="L51" s="8"/>
      <c r="M51" s="7" t="str">
        <f t="shared" si="5"/>
        <v>050 第1頁</v>
      </c>
      <c r="N51" s="7" t="str">
        <f t="shared" si="6"/>
        <v>manifest-050-w01</v>
      </c>
      <c r="O51" s="7" t="str">
        <f t="shared" si="7"/>
        <v>canvas-050-w01</v>
      </c>
      <c r="P51" s="8" t="s">
        <v>20</v>
      </c>
      <c r="Q51" s="8"/>
    </row>
    <row r="52" spans="1:17" ht="16" customHeight="1" x14ac:dyDescent="0.2">
      <c r="A52" s="7" t="str">
        <f t="shared" si="0"/>
        <v>051-w01-p1</v>
      </c>
      <c r="B52" s="8" t="s">
        <v>70</v>
      </c>
      <c r="C52" s="8" t="s">
        <v>18</v>
      </c>
      <c r="D52" s="8">
        <v>1</v>
      </c>
      <c r="E52" s="8" t="s">
        <v>19</v>
      </c>
      <c r="F52" s="8" t="str">
        <f t="shared" si="1"/>
        <v>051-w01.jpg</v>
      </c>
      <c r="G52" s="8" t="str">
        <f t="shared" si="2"/>
        <v>images/051-w01.jpg</v>
      </c>
      <c r="H52" s="8" t="str">
        <f t="shared" si="3"/>
        <v>https://scholarbo.github.io/soseki-manuscripts/images/051-w01.jpg</v>
      </c>
      <c r="I52" s="8"/>
      <c r="J52" s="8" t="str">
        <f t="shared" si="4"/>
        <v>images/051-w01.jpg</v>
      </c>
      <c r="K52" s="8"/>
      <c r="L52" s="8"/>
      <c r="M52" s="7" t="str">
        <f t="shared" si="5"/>
        <v>051 第1頁</v>
      </c>
      <c r="N52" s="7" t="str">
        <f t="shared" si="6"/>
        <v>manifest-051-w01</v>
      </c>
      <c r="O52" s="7" t="str">
        <f t="shared" si="7"/>
        <v>canvas-051-w01</v>
      </c>
      <c r="P52" s="8" t="s">
        <v>20</v>
      </c>
      <c r="Q52" s="8"/>
    </row>
    <row r="53" spans="1:17" ht="32" customHeight="1" x14ac:dyDescent="0.2">
      <c r="A53" s="7" t="str">
        <f t="shared" si="0"/>
        <v>052-w01-p1</v>
      </c>
      <c r="B53" s="8" t="s">
        <v>71</v>
      </c>
      <c r="C53" s="8" t="s">
        <v>18</v>
      </c>
      <c r="D53" s="8">
        <v>1</v>
      </c>
      <c r="E53" s="8" t="s">
        <v>19</v>
      </c>
      <c r="F53" s="8" t="str">
        <f t="shared" si="1"/>
        <v>052-w01.jpg</v>
      </c>
      <c r="G53" s="8" t="str">
        <f t="shared" si="2"/>
        <v>images/052-w01.jpg</v>
      </c>
      <c r="H53" s="8" t="str">
        <f t="shared" si="3"/>
        <v>https://scholarbo.github.io/soseki-manuscripts/images/052-w01.jpg</v>
      </c>
      <c r="I53" s="8"/>
      <c r="J53" s="8" t="str">
        <f t="shared" si="4"/>
        <v>images/052-w01.jpg</v>
      </c>
      <c r="K53" s="8"/>
      <c r="L53" s="8"/>
      <c r="M53" s="7" t="str">
        <f t="shared" si="5"/>
        <v>052 第1頁</v>
      </c>
      <c r="N53" s="7" t="str">
        <f t="shared" si="6"/>
        <v>manifest-052-w01</v>
      </c>
      <c r="O53" s="7" t="str">
        <f t="shared" si="7"/>
        <v>canvas-052-w01</v>
      </c>
      <c r="P53" s="8" t="s">
        <v>20</v>
      </c>
      <c r="Q53" s="8"/>
    </row>
    <row r="54" spans="1:17" ht="32" customHeight="1" x14ac:dyDescent="0.2">
      <c r="A54" s="7" t="str">
        <f t="shared" si="0"/>
        <v>053-w01-p1</v>
      </c>
      <c r="B54" s="8" t="s">
        <v>72</v>
      </c>
      <c r="C54" s="8" t="s">
        <v>18</v>
      </c>
      <c r="D54" s="8">
        <v>1</v>
      </c>
      <c r="E54" s="8" t="s">
        <v>19</v>
      </c>
      <c r="F54" s="8" t="str">
        <f t="shared" si="1"/>
        <v>053-w01.jpg</v>
      </c>
      <c r="G54" s="8" t="str">
        <f t="shared" si="2"/>
        <v>images/053-w01.jpg</v>
      </c>
      <c r="H54" s="8" t="str">
        <f t="shared" si="3"/>
        <v>https://scholarbo.github.io/soseki-manuscripts/images/053-w01.jpg</v>
      </c>
      <c r="I54" s="8"/>
      <c r="J54" s="8" t="str">
        <f t="shared" si="4"/>
        <v>images/053-w01.jpg</v>
      </c>
      <c r="K54" s="8"/>
      <c r="L54" s="8"/>
      <c r="M54" s="7" t="str">
        <f t="shared" si="5"/>
        <v>053 第1頁</v>
      </c>
      <c r="N54" s="7" t="str">
        <f t="shared" si="6"/>
        <v>manifest-053-w01</v>
      </c>
      <c r="O54" s="7" t="str">
        <f t="shared" si="7"/>
        <v>canvas-053-w01</v>
      </c>
      <c r="P54" s="8" t="s">
        <v>20</v>
      </c>
      <c r="Q54" s="8"/>
    </row>
    <row r="55" spans="1:17" ht="32" customHeight="1" x14ac:dyDescent="0.2">
      <c r="A55" s="7" t="str">
        <f t="shared" si="0"/>
        <v>054-w01-p1</v>
      </c>
      <c r="B55" s="8" t="s">
        <v>73</v>
      </c>
      <c r="C55" s="8" t="s">
        <v>18</v>
      </c>
      <c r="D55" s="8">
        <v>1</v>
      </c>
      <c r="E55" s="8" t="s">
        <v>19</v>
      </c>
      <c r="F55" s="8" t="str">
        <f t="shared" si="1"/>
        <v>054-w01.jpg</v>
      </c>
      <c r="G55" s="8" t="str">
        <f t="shared" si="2"/>
        <v>images/054-w01.jpg</v>
      </c>
      <c r="H55" s="8" t="str">
        <f t="shared" si="3"/>
        <v>https://scholarbo.github.io/soseki-manuscripts/images/054-w01.jpg</v>
      </c>
      <c r="I55" s="8"/>
      <c r="J55" s="8" t="str">
        <f t="shared" si="4"/>
        <v>images/054-w01.jpg</v>
      </c>
      <c r="K55" s="8"/>
      <c r="L55" s="8"/>
      <c r="M55" s="7" t="str">
        <f t="shared" si="5"/>
        <v>054 第1頁</v>
      </c>
      <c r="N55" s="7" t="str">
        <f t="shared" si="6"/>
        <v>manifest-054-w01</v>
      </c>
      <c r="O55" s="7" t="str">
        <f t="shared" si="7"/>
        <v>canvas-054-w01</v>
      </c>
      <c r="P55" s="8" t="s">
        <v>20</v>
      </c>
      <c r="Q55" s="8"/>
    </row>
    <row r="56" spans="1:17" ht="32" customHeight="1" x14ac:dyDescent="0.2">
      <c r="A56" s="7" t="str">
        <f t="shared" si="0"/>
        <v>055-w01-p1</v>
      </c>
      <c r="B56" s="8" t="s">
        <v>74</v>
      </c>
      <c r="C56" s="8" t="s">
        <v>18</v>
      </c>
      <c r="D56" s="8">
        <v>1</v>
      </c>
      <c r="E56" s="8" t="s">
        <v>19</v>
      </c>
      <c r="F56" s="8" t="str">
        <f t="shared" si="1"/>
        <v>055-w01.jpg</v>
      </c>
      <c r="G56" s="8" t="str">
        <f t="shared" si="2"/>
        <v>images/055-w01.jpg</v>
      </c>
      <c r="H56" s="8" t="str">
        <f t="shared" si="3"/>
        <v>https://scholarbo.github.io/soseki-manuscripts/images/055-w01.jpg</v>
      </c>
      <c r="I56" s="8"/>
      <c r="J56" s="8" t="str">
        <f t="shared" si="4"/>
        <v>images/055-w01.jpg</v>
      </c>
      <c r="K56" s="8"/>
      <c r="L56" s="8"/>
      <c r="M56" s="7" t="str">
        <f t="shared" si="5"/>
        <v>055 第1頁</v>
      </c>
      <c r="N56" s="7" t="str">
        <f t="shared" si="6"/>
        <v>manifest-055-w01</v>
      </c>
      <c r="O56" s="7" t="str">
        <f t="shared" si="7"/>
        <v>canvas-055-w01</v>
      </c>
      <c r="P56" s="8" t="s">
        <v>20</v>
      </c>
      <c r="Q56" s="8"/>
    </row>
    <row r="57" spans="1:17" ht="32" customHeight="1" x14ac:dyDescent="0.2">
      <c r="A57" s="7" t="str">
        <f t="shared" si="0"/>
        <v>056-w01-p1</v>
      </c>
      <c r="B57" s="8" t="s">
        <v>75</v>
      </c>
      <c r="C57" s="8" t="s">
        <v>18</v>
      </c>
      <c r="D57" s="8">
        <v>1</v>
      </c>
      <c r="E57" s="8" t="s">
        <v>19</v>
      </c>
      <c r="F57" s="8" t="str">
        <f t="shared" si="1"/>
        <v>056-w01.jpg</v>
      </c>
      <c r="G57" s="8" t="str">
        <f t="shared" si="2"/>
        <v>images/056-w01.jpg</v>
      </c>
      <c r="H57" s="8" t="str">
        <f t="shared" si="3"/>
        <v>https://scholarbo.github.io/soseki-manuscripts/images/056-w01.jpg</v>
      </c>
      <c r="I57" s="8"/>
      <c r="J57" s="8" t="str">
        <f t="shared" si="4"/>
        <v>images/056-w01.jpg</v>
      </c>
      <c r="K57" s="8"/>
      <c r="L57" s="8"/>
      <c r="M57" s="7" t="str">
        <f t="shared" si="5"/>
        <v>056 第1頁</v>
      </c>
      <c r="N57" s="7" t="str">
        <f t="shared" si="6"/>
        <v>manifest-056-w01</v>
      </c>
      <c r="O57" s="7" t="str">
        <f t="shared" si="7"/>
        <v>canvas-056-w01</v>
      </c>
      <c r="P57" s="8" t="s">
        <v>20</v>
      </c>
      <c r="Q57" s="8"/>
    </row>
    <row r="58" spans="1:17" ht="32" customHeight="1" x14ac:dyDescent="0.2">
      <c r="A58" s="7" t="str">
        <f t="shared" si="0"/>
        <v>057-w01-p1</v>
      </c>
      <c r="B58" s="8" t="s">
        <v>76</v>
      </c>
      <c r="C58" s="8" t="s">
        <v>18</v>
      </c>
      <c r="D58" s="8">
        <v>1</v>
      </c>
      <c r="E58" s="8" t="s">
        <v>19</v>
      </c>
      <c r="F58" s="8" t="str">
        <f t="shared" si="1"/>
        <v>057-w01.jpg</v>
      </c>
      <c r="G58" s="8" t="str">
        <f t="shared" si="2"/>
        <v>images/057-w01.jpg</v>
      </c>
      <c r="H58" s="8" t="str">
        <f t="shared" si="3"/>
        <v>https://scholarbo.github.io/soseki-manuscripts/images/057-w01.jpg</v>
      </c>
      <c r="I58" s="8"/>
      <c r="J58" s="8" t="str">
        <f t="shared" si="4"/>
        <v>images/057-w01.jpg</v>
      </c>
      <c r="K58" s="8"/>
      <c r="L58" s="8"/>
      <c r="M58" s="7" t="str">
        <f t="shared" si="5"/>
        <v>057 第1頁</v>
      </c>
      <c r="N58" s="7" t="str">
        <f t="shared" si="6"/>
        <v>manifest-057-w01</v>
      </c>
      <c r="O58" s="7" t="str">
        <f t="shared" si="7"/>
        <v>canvas-057-w01</v>
      </c>
      <c r="P58" s="8" t="s">
        <v>20</v>
      </c>
      <c r="Q58" s="8"/>
    </row>
    <row r="59" spans="1:17" ht="32" customHeight="1" x14ac:dyDescent="0.2">
      <c r="A59" s="7" t="str">
        <f t="shared" si="0"/>
        <v>058-w01-p1</v>
      </c>
      <c r="B59" s="8" t="s">
        <v>77</v>
      </c>
      <c r="C59" s="8" t="s">
        <v>18</v>
      </c>
      <c r="D59" s="8">
        <v>1</v>
      </c>
      <c r="E59" s="8" t="s">
        <v>19</v>
      </c>
      <c r="F59" s="8" t="str">
        <f t="shared" si="1"/>
        <v>058-w01.jpg</v>
      </c>
      <c r="G59" s="8" t="str">
        <f t="shared" si="2"/>
        <v>images/058-w01.jpg</v>
      </c>
      <c r="H59" s="8" t="str">
        <f t="shared" si="3"/>
        <v>https://scholarbo.github.io/soseki-manuscripts/images/058-w01.jpg</v>
      </c>
      <c r="I59" s="8"/>
      <c r="J59" s="8" t="str">
        <f t="shared" si="4"/>
        <v>images/058-w01.jpg</v>
      </c>
      <c r="K59" s="8"/>
      <c r="L59" s="8"/>
      <c r="M59" s="7" t="str">
        <f t="shared" si="5"/>
        <v>058 第1頁</v>
      </c>
      <c r="N59" s="7" t="str">
        <f t="shared" si="6"/>
        <v>manifest-058-w01</v>
      </c>
      <c r="O59" s="7" t="str">
        <f t="shared" si="7"/>
        <v>canvas-058-w01</v>
      </c>
      <c r="P59" s="8" t="s">
        <v>20</v>
      </c>
      <c r="Q59" s="8"/>
    </row>
    <row r="60" spans="1:17" ht="96" customHeight="1" x14ac:dyDescent="0.2">
      <c r="A60" s="7" t="str">
        <f t="shared" si="0"/>
        <v>059-w01-p1</v>
      </c>
      <c r="B60" s="8" t="s">
        <v>78</v>
      </c>
      <c r="C60" s="8" t="s">
        <v>18</v>
      </c>
      <c r="D60" s="8">
        <v>1</v>
      </c>
      <c r="E60" s="8" t="s">
        <v>19</v>
      </c>
      <c r="F60" s="8" t="str">
        <f t="shared" si="1"/>
        <v>059-w01.jpg</v>
      </c>
      <c r="G60" s="8" t="str">
        <f t="shared" si="2"/>
        <v>images/059-w01.jpg</v>
      </c>
      <c r="H60" s="8" t="str">
        <f t="shared" si="3"/>
        <v>https://scholarbo.github.io/soseki-manuscripts/images/059-w01.jpg</v>
      </c>
      <c r="I60" s="8"/>
      <c r="J60" s="8" t="str">
        <f t="shared" si="4"/>
        <v>images/059-w01.jpg</v>
      </c>
      <c r="K60" s="8"/>
      <c r="L60" s="8"/>
      <c r="M60" s="7" t="str">
        <f t="shared" si="5"/>
        <v>059 第1頁</v>
      </c>
      <c r="N60" s="7" t="str">
        <f t="shared" si="6"/>
        <v>manifest-059-w01</v>
      </c>
      <c r="O60" s="7" t="str">
        <f t="shared" si="7"/>
        <v>canvas-059-w01</v>
      </c>
      <c r="P60" s="8" t="s">
        <v>20</v>
      </c>
      <c r="Q60" s="8"/>
    </row>
    <row r="61" spans="1:17" ht="32" customHeight="1" x14ac:dyDescent="0.2">
      <c r="A61" s="7" t="str">
        <f t="shared" si="0"/>
        <v>060-w01-p1</v>
      </c>
      <c r="B61" s="8" t="s">
        <v>79</v>
      </c>
      <c r="C61" s="8" t="s">
        <v>18</v>
      </c>
      <c r="D61" s="8">
        <v>1</v>
      </c>
      <c r="E61" s="8" t="s">
        <v>19</v>
      </c>
      <c r="F61" s="8" t="str">
        <f t="shared" si="1"/>
        <v>060-w01.jpg</v>
      </c>
      <c r="G61" s="8" t="str">
        <f t="shared" si="2"/>
        <v>images/060-w01.jpg</v>
      </c>
      <c r="H61" s="8" t="str">
        <f t="shared" si="3"/>
        <v>https://scholarbo.github.io/soseki-manuscripts/images/060-w01.jpg</v>
      </c>
      <c r="I61" s="8"/>
      <c r="J61" s="8" t="str">
        <f t="shared" si="4"/>
        <v>images/060-w01.jpg</v>
      </c>
      <c r="K61" s="8"/>
      <c r="L61" s="8"/>
      <c r="M61" s="7" t="str">
        <f t="shared" si="5"/>
        <v>060 第1頁</v>
      </c>
      <c r="N61" s="7" t="str">
        <f t="shared" si="6"/>
        <v>manifest-060-w01</v>
      </c>
      <c r="O61" s="7" t="str">
        <f t="shared" si="7"/>
        <v>canvas-060-w01</v>
      </c>
      <c r="P61" s="8" t="s">
        <v>20</v>
      </c>
      <c r="Q61" s="8"/>
    </row>
    <row r="62" spans="1:17" ht="32" customHeight="1" x14ac:dyDescent="0.2">
      <c r="A62" s="7" t="str">
        <f t="shared" si="0"/>
        <v>061-w01-p1</v>
      </c>
      <c r="B62" s="8" t="s">
        <v>80</v>
      </c>
      <c r="C62" s="8" t="s">
        <v>18</v>
      </c>
      <c r="D62" s="8">
        <v>1</v>
      </c>
      <c r="E62" s="8" t="s">
        <v>19</v>
      </c>
      <c r="F62" s="8" t="str">
        <f t="shared" si="1"/>
        <v>061-w01.jpg</v>
      </c>
      <c r="G62" s="8" t="str">
        <f t="shared" si="2"/>
        <v>images/061-w01.jpg</v>
      </c>
      <c r="H62" s="8" t="str">
        <f t="shared" si="3"/>
        <v>https://scholarbo.github.io/soseki-manuscripts/images/061-w01.jpg</v>
      </c>
      <c r="I62" s="8"/>
      <c r="J62" s="8" t="str">
        <f t="shared" si="4"/>
        <v>images/061-w01.jpg</v>
      </c>
      <c r="K62" s="8"/>
      <c r="L62" s="8"/>
      <c r="M62" s="7" t="str">
        <f t="shared" si="5"/>
        <v>061 第1頁</v>
      </c>
      <c r="N62" s="7" t="str">
        <f t="shared" si="6"/>
        <v>manifest-061-w01</v>
      </c>
      <c r="O62" s="7" t="str">
        <f t="shared" si="7"/>
        <v>canvas-061-w01</v>
      </c>
      <c r="P62" s="8" t="s">
        <v>20</v>
      </c>
      <c r="Q62" s="8"/>
    </row>
    <row r="63" spans="1:17" ht="32" customHeight="1" x14ac:dyDescent="0.2">
      <c r="A63" s="7" t="str">
        <f t="shared" si="0"/>
        <v>062-w01-p1</v>
      </c>
      <c r="B63" s="8" t="s">
        <v>81</v>
      </c>
      <c r="C63" s="8" t="s">
        <v>18</v>
      </c>
      <c r="D63" s="8">
        <v>1</v>
      </c>
      <c r="E63" s="8" t="s">
        <v>19</v>
      </c>
      <c r="F63" s="8" t="str">
        <f t="shared" si="1"/>
        <v>062-w01.jpg</v>
      </c>
      <c r="G63" s="8" t="str">
        <f t="shared" si="2"/>
        <v>images/062-w01.jpg</v>
      </c>
      <c r="H63" s="8" t="str">
        <f t="shared" si="3"/>
        <v>https://scholarbo.github.io/soseki-manuscripts/images/062-w01.jpg</v>
      </c>
      <c r="I63" s="8"/>
      <c r="J63" s="8" t="str">
        <f t="shared" si="4"/>
        <v>images/062-w01.jpg</v>
      </c>
      <c r="K63" s="8"/>
      <c r="L63" s="8"/>
      <c r="M63" s="7" t="str">
        <f t="shared" si="5"/>
        <v>062 第1頁</v>
      </c>
      <c r="N63" s="7" t="str">
        <f t="shared" si="6"/>
        <v>manifest-062-w01</v>
      </c>
      <c r="O63" s="7" t="str">
        <f t="shared" si="7"/>
        <v>canvas-062-w01</v>
      </c>
      <c r="P63" s="8" t="s">
        <v>20</v>
      </c>
      <c r="Q63" s="8"/>
    </row>
    <row r="64" spans="1:17" ht="32" customHeight="1" x14ac:dyDescent="0.2">
      <c r="A64" s="7" t="str">
        <f t="shared" si="0"/>
        <v>063-w01-p1</v>
      </c>
      <c r="B64" s="8" t="s">
        <v>82</v>
      </c>
      <c r="C64" s="8" t="s">
        <v>18</v>
      </c>
      <c r="D64" s="8">
        <v>1</v>
      </c>
      <c r="E64" s="8" t="s">
        <v>19</v>
      </c>
      <c r="F64" s="8" t="str">
        <f t="shared" si="1"/>
        <v>063-w01.jpg</v>
      </c>
      <c r="G64" s="8" t="str">
        <f t="shared" si="2"/>
        <v>images/063-w01.jpg</v>
      </c>
      <c r="H64" s="8" t="str">
        <f t="shared" si="3"/>
        <v>https://scholarbo.github.io/soseki-manuscripts/images/063-w01.jpg</v>
      </c>
      <c r="I64" s="8"/>
      <c r="J64" s="8" t="str">
        <f t="shared" si="4"/>
        <v>images/063-w01.jpg</v>
      </c>
      <c r="K64" s="8"/>
      <c r="L64" s="8"/>
      <c r="M64" s="7" t="str">
        <f t="shared" si="5"/>
        <v>063 第1頁</v>
      </c>
      <c r="N64" s="7" t="str">
        <f t="shared" si="6"/>
        <v>manifest-063-w01</v>
      </c>
      <c r="O64" s="7" t="str">
        <f t="shared" si="7"/>
        <v>canvas-063-w01</v>
      </c>
      <c r="P64" s="8" t="s">
        <v>20</v>
      </c>
      <c r="Q64" s="8"/>
    </row>
    <row r="65" spans="1:17" ht="32" customHeight="1" x14ac:dyDescent="0.2">
      <c r="A65" s="7" t="str">
        <f t="shared" si="0"/>
        <v>064-w01-p1</v>
      </c>
      <c r="B65" s="8" t="s">
        <v>83</v>
      </c>
      <c r="C65" s="8" t="s">
        <v>18</v>
      </c>
      <c r="D65" s="8">
        <v>1</v>
      </c>
      <c r="E65" s="8" t="s">
        <v>19</v>
      </c>
      <c r="F65" s="8" t="str">
        <f t="shared" si="1"/>
        <v>064-w01.jpg</v>
      </c>
      <c r="G65" s="8" t="str">
        <f t="shared" si="2"/>
        <v>images/064-w01.jpg</v>
      </c>
      <c r="H65" s="8" t="str">
        <f t="shared" si="3"/>
        <v>https://scholarbo.github.io/soseki-manuscripts/images/064-w01.jpg</v>
      </c>
      <c r="I65" s="8"/>
      <c r="J65" s="8" t="str">
        <f t="shared" si="4"/>
        <v>images/064-w01.jpg</v>
      </c>
      <c r="K65" s="8"/>
      <c r="L65" s="8"/>
      <c r="M65" s="7" t="str">
        <f t="shared" si="5"/>
        <v>064 第1頁</v>
      </c>
      <c r="N65" s="7" t="str">
        <f t="shared" si="6"/>
        <v>manifest-064-w01</v>
      </c>
      <c r="O65" s="7" t="str">
        <f t="shared" si="7"/>
        <v>canvas-064-w01</v>
      </c>
      <c r="P65" s="8" t="s">
        <v>20</v>
      </c>
      <c r="Q65" s="8"/>
    </row>
    <row r="66" spans="1:17" ht="32" customHeight="1" x14ac:dyDescent="0.2">
      <c r="A66" s="7" t="str">
        <f t="shared" ref="A66:A129" si="8">IF(OR(B66="",D66=""),"",B66&amp;IF(C66="","","-"&amp;C66)&amp;"-p"&amp;D66)</f>
        <v>065-w01-p1</v>
      </c>
      <c r="B66" s="8" t="s">
        <v>84</v>
      </c>
      <c r="C66" s="8" t="s">
        <v>18</v>
      </c>
      <c r="D66" s="8">
        <v>1</v>
      </c>
      <c r="E66" s="8" t="s">
        <v>19</v>
      </c>
      <c r="F66" s="8" t="str">
        <f t="shared" ref="F66:F129" si="9">IF(OR(B66="",C66=""),"",B66&amp;"-"&amp;C66&amp;".jpg")</f>
        <v>065-w01.jpg</v>
      </c>
      <c r="G66" s="8" t="str">
        <f t="shared" ref="G66:G129" si="10">IF(OR(B66="",C66=""),"","images/"&amp;B66&amp;"-"&amp;C66&amp;".jpg")</f>
        <v>images/065-w01.jpg</v>
      </c>
      <c r="H66" s="8" t="str">
        <f t="shared" ref="H66:H129" si="11">IF(OR(B66="",C66=""),"","https://scholarbo.github.io/soseki-manuscripts/images/"&amp;B66&amp;"-"&amp;C66&amp;".jpg")</f>
        <v>https://scholarbo.github.io/soseki-manuscripts/images/065-w01.jpg</v>
      </c>
      <c r="I66" s="8"/>
      <c r="J66" s="8" t="str">
        <f t="shared" ref="J66:J129" si="12">IF(OR(B66="",C66="",E66&lt;&gt;"iiif"),"","images/"&amp;B66&amp;"-"&amp;C66&amp;".jpg")</f>
        <v>images/065-w01.jpg</v>
      </c>
      <c r="K66" s="8"/>
      <c r="L66" s="8"/>
      <c r="M66" s="7" t="str">
        <f t="shared" ref="M66:M129" si="13">IF(OR(B66="",D66=""),"",B66&amp;IF(C66="","",IF(C66="w01",""," 第"&amp;VALUE(RIGHT(C66,2))&amp;"版"))&amp;" 第"&amp;D66&amp;"頁")</f>
        <v>065 第1頁</v>
      </c>
      <c r="N66" s="7" t="str">
        <f t="shared" ref="N66:N129" si="14">IF(OR(B66="",C66=""),"","manifest-"&amp;B66&amp;"-"&amp;C66)</f>
        <v>manifest-065-w01</v>
      </c>
      <c r="O66" s="7" t="str">
        <f t="shared" ref="O66:O129" si="15">IF(OR(B66="",C66="",D66=""),"","canvas-"&amp;B66&amp;"-"&amp;C66&amp;IF(D66=1,"","-p"&amp;D66))</f>
        <v>canvas-065-w01</v>
      </c>
      <c r="P66" s="8" t="s">
        <v>20</v>
      </c>
      <c r="Q66" s="8"/>
    </row>
    <row r="67" spans="1:17" ht="16" customHeight="1" x14ac:dyDescent="0.2">
      <c r="A67" s="7" t="str">
        <f t="shared" si="8"/>
        <v>066-w01-p1</v>
      </c>
      <c r="B67" s="8" t="s">
        <v>85</v>
      </c>
      <c r="C67" s="8" t="s">
        <v>18</v>
      </c>
      <c r="D67" s="8">
        <v>1</v>
      </c>
      <c r="E67" s="8" t="s">
        <v>19</v>
      </c>
      <c r="F67" s="8" t="str">
        <f t="shared" si="9"/>
        <v>066-w01.jpg</v>
      </c>
      <c r="G67" s="8" t="str">
        <f t="shared" si="10"/>
        <v>images/066-w01.jpg</v>
      </c>
      <c r="H67" s="8" t="str">
        <f t="shared" si="11"/>
        <v>https://scholarbo.github.io/soseki-manuscripts/images/066-w01.jpg</v>
      </c>
      <c r="I67" s="8"/>
      <c r="J67" s="8" t="str">
        <f t="shared" si="12"/>
        <v>images/066-w01.jpg</v>
      </c>
      <c r="K67" s="8"/>
      <c r="L67" s="8"/>
      <c r="M67" s="7" t="str">
        <f t="shared" si="13"/>
        <v>066 第1頁</v>
      </c>
      <c r="N67" s="7" t="str">
        <f t="shared" si="14"/>
        <v>manifest-066-w01</v>
      </c>
      <c r="O67" s="7" t="str">
        <f t="shared" si="15"/>
        <v>canvas-066-w01</v>
      </c>
      <c r="P67" s="8" t="s">
        <v>20</v>
      </c>
      <c r="Q67" s="8"/>
    </row>
    <row r="68" spans="1:17" ht="52" customHeight="1" x14ac:dyDescent="0.2">
      <c r="A68" s="7" t="str">
        <f t="shared" si="8"/>
        <v>067-w01-p1</v>
      </c>
      <c r="B68" s="8" t="s">
        <v>86</v>
      </c>
      <c r="C68" s="8" t="s">
        <v>18</v>
      </c>
      <c r="D68" s="8">
        <v>1</v>
      </c>
      <c r="E68" s="8" t="s">
        <v>19</v>
      </c>
      <c r="F68" s="8" t="str">
        <f t="shared" si="9"/>
        <v>067-w01.jpg</v>
      </c>
      <c r="G68" s="9" t="str">
        <f t="shared" si="10"/>
        <v>images/067-w01.jpg</v>
      </c>
      <c r="H68" s="8" t="str">
        <f t="shared" si="11"/>
        <v>https://scholarbo.github.io/soseki-manuscripts/images/067-w01.jpg</v>
      </c>
      <c r="I68" s="8"/>
      <c r="J68" s="8" t="str">
        <f t="shared" si="12"/>
        <v>images/067-w01.jpg</v>
      </c>
      <c r="K68" s="8"/>
      <c r="L68" s="8"/>
      <c r="M68" s="7" t="str">
        <f t="shared" si="13"/>
        <v>067 第1頁</v>
      </c>
      <c r="N68" s="7" t="str">
        <f t="shared" si="14"/>
        <v>manifest-067-w01</v>
      </c>
      <c r="O68" s="7" t="str">
        <f t="shared" si="15"/>
        <v>canvas-067-w01</v>
      </c>
      <c r="P68" s="8" t="s">
        <v>20</v>
      </c>
      <c r="Q68" s="8"/>
    </row>
    <row r="69" spans="1:17" ht="32" x14ac:dyDescent="0.2">
      <c r="A69" s="7" t="str">
        <f t="shared" si="8"/>
        <v>067-w02-p1</v>
      </c>
      <c r="B69" s="8" t="s">
        <v>86</v>
      </c>
      <c r="C69" s="8" t="s">
        <v>87</v>
      </c>
      <c r="D69" s="8">
        <v>1</v>
      </c>
      <c r="E69" s="8" t="s">
        <v>19</v>
      </c>
      <c r="F69" s="8" t="str">
        <f t="shared" si="9"/>
        <v>067-w02.jpg</v>
      </c>
      <c r="G69" s="9" t="str">
        <f t="shared" si="10"/>
        <v>images/067-w02.jpg</v>
      </c>
      <c r="H69" s="8" t="str">
        <f t="shared" si="11"/>
        <v>https://scholarbo.github.io/soseki-manuscripts/images/067-w02.jpg</v>
      </c>
      <c r="I69" s="8"/>
      <c r="J69" s="8" t="str">
        <f t="shared" si="12"/>
        <v>images/067-w02.jpg</v>
      </c>
      <c r="K69" s="8"/>
      <c r="L69" s="8"/>
      <c r="M69" s="7" t="str">
        <f t="shared" si="13"/>
        <v>067 第2版 第1頁</v>
      </c>
      <c r="N69" s="7" t="str">
        <f t="shared" si="14"/>
        <v>manifest-067-w02</v>
      </c>
      <c r="O69" s="7" t="str">
        <f t="shared" si="15"/>
        <v>canvas-067-w02</v>
      </c>
      <c r="P69" s="8" t="s">
        <v>20</v>
      </c>
      <c r="Q69" s="8"/>
    </row>
    <row r="70" spans="1:17" ht="32" customHeight="1" x14ac:dyDescent="0.2">
      <c r="A70" s="7" t="str">
        <f t="shared" si="8"/>
        <v>068-w01-p1</v>
      </c>
      <c r="B70" s="8" t="s">
        <v>88</v>
      </c>
      <c r="C70" s="8" t="s">
        <v>18</v>
      </c>
      <c r="D70" s="8">
        <v>1</v>
      </c>
      <c r="E70" s="8" t="s">
        <v>19</v>
      </c>
      <c r="F70" s="8" t="str">
        <f t="shared" si="9"/>
        <v>068-w01.jpg</v>
      </c>
      <c r="G70" s="8" t="str">
        <f t="shared" si="10"/>
        <v>images/068-w01.jpg</v>
      </c>
      <c r="H70" s="8" t="str">
        <f t="shared" si="11"/>
        <v>https://scholarbo.github.io/soseki-manuscripts/images/068-w01.jpg</v>
      </c>
      <c r="I70" s="8"/>
      <c r="J70" s="8" t="str">
        <f t="shared" si="12"/>
        <v>images/068-w01.jpg</v>
      </c>
      <c r="K70" s="8"/>
      <c r="L70" s="8"/>
      <c r="M70" s="7" t="str">
        <f t="shared" si="13"/>
        <v>068 第1頁</v>
      </c>
      <c r="N70" s="7" t="str">
        <f t="shared" si="14"/>
        <v>manifest-068-w01</v>
      </c>
      <c r="O70" s="7" t="str">
        <f t="shared" si="15"/>
        <v>canvas-068-w01</v>
      </c>
      <c r="P70" s="8" t="s">
        <v>20</v>
      </c>
      <c r="Q70" s="8"/>
    </row>
    <row r="71" spans="1:17" ht="16" customHeight="1" x14ac:dyDescent="0.2">
      <c r="A71" s="7" t="str">
        <f t="shared" si="8"/>
        <v>069-w01-p1</v>
      </c>
      <c r="B71" s="8" t="s">
        <v>89</v>
      </c>
      <c r="C71" s="8" t="s">
        <v>18</v>
      </c>
      <c r="D71" s="8">
        <v>1</v>
      </c>
      <c r="E71" s="8" t="s">
        <v>19</v>
      </c>
      <c r="F71" s="8" t="str">
        <f t="shared" si="9"/>
        <v>069-w01.jpg</v>
      </c>
      <c r="G71" s="8" t="str">
        <f t="shared" si="10"/>
        <v>images/069-w01.jpg</v>
      </c>
      <c r="H71" s="8" t="str">
        <f t="shared" si="11"/>
        <v>https://scholarbo.github.io/soseki-manuscripts/images/069-w01.jpg</v>
      </c>
      <c r="I71" s="8"/>
      <c r="J71" s="8" t="str">
        <f t="shared" si="12"/>
        <v>images/069-w01.jpg</v>
      </c>
      <c r="K71" s="8"/>
      <c r="L71" s="8"/>
      <c r="M71" s="7" t="str">
        <f t="shared" si="13"/>
        <v>069 第1頁</v>
      </c>
      <c r="N71" s="7" t="str">
        <f t="shared" si="14"/>
        <v>manifest-069-w01</v>
      </c>
      <c r="O71" s="7" t="str">
        <f t="shared" si="15"/>
        <v>canvas-069-w01</v>
      </c>
      <c r="P71" s="8" t="s">
        <v>20</v>
      </c>
      <c r="Q71" s="8"/>
    </row>
    <row r="72" spans="1:17" ht="16" customHeight="1" x14ac:dyDescent="0.2">
      <c r="A72" s="7" t="str">
        <f t="shared" si="8"/>
        <v>070-w01-p1</v>
      </c>
      <c r="B72" s="8" t="s">
        <v>90</v>
      </c>
      <c r="C72" s="8" t="s">
        <v>18</v>
      </c>
      <c r="D72" s="8">
        <v>1</v>
      </c>
      <c r="E72" s="8" t="s">
        <v>19</v>
      </c>
      <c r="F72" s="8" t="str">
        <f t="shared" si="9"/>
        <v>070-w01.jpg</v>
      </c>
      <c r="G72" s="8" t="str">
        <f t="shared" si="10"/>
        <v>images/070-w01.jpg</v>
      </c>
      <c r="H72" s="8" t="str">
        <f t="shared" si="11"/>
        <v>https://scholarbo.github.io/soseki-manuscripts/images/070-w01.jpg</v>
      </c>
      <c r="I72" s="8"/>
      <c r="J72" s="8" t="str">
        <f t="shared" si="12"/>
        <v>images/070-w01.jpg</v>
      </c>
      <c r="K72" s="8"/>
      <c r="L72" s="8"/>
      <c r="M72" s="7" t="str">
        <f t="shared" si="13"/>
        <v>070 第1頁</v>
      </c>
      <c r="N72" s="7" t="str">
        <f t="shared" si="14"/>
        <v>manifest-070-w01</v>
      </c>
      <c r="O72" s="7" t="str">
        <f t="shared" si="15"/>
        <v>canvas-070-w01</v>
      </c>
      <c r="P72" s="8" t="s">
        <v>20</v>
      </c>
      <c r="Q72" s="8"/>
    </row>
    <row r="73" spans="1:17" ht="32" customHeight="1" x14ac:dyDescent="0.2">
      <c r="A73" s="7" t="str">
        <f t="shared" si="8"/>
        <v>071-w01-p1</v>
      </c>
      <c r="B73" s="8" t="s">
        <v>91</v>
      </c>
      <c r="C73" s="8" t="s">
        <v>18</v>
      </c>
      <c r="D73" s="8">
        <v>1</v>
      </c>
      <c r="E73" s="8" t="s">
        <v>19</v>
      </c>
      <c r="F73" s="8" t="str">
        <f t="shared" si="9"/>
        <v>071-w01.jpg</v>
      </c>
      <c r="G73" s="8" t="str">
        <f t="shared" si="10"/>
        <v>images/071-w01.jpg</v>
      </c>
      <c r="H73" s="8" t="str">
        <f t="shared" si="11"/>
        <v>https://scholarbo.github.io/soseki-manuscripts/images/071-w01.jpg</v>
      </c>
      <c r="I73" s="8"/>
      <c r="J73" s="8" t="str">
        <f t="shared" si="12"/>
        <v>images/071-w01.jpg</v>
      </c>
      <c r="K73" s="8"/>
      <c r="L73" s="8"/>
      <c r="M73" s="7" t="str">
        <f t="shared" si="13"/>
        <v>071 第1頁</v>
      </c>
      <c r="N73" s="7" t="str">
        <f t="shared" si="14"/>
        <v>manifest-071-w01</v>
      </c>
      <c r="O73" s="7" t="str">
        <f t="shared" si="15"/>
        <v>canvas-071-w01</v>
      </c>
      <c r="P73" s="8" t="s">
        <v>20</v>
      </c>
      <c r="Q73" s="8"/>
    </row>
    <row r="74" spans="1:17" ht="16" customHeight="1" x14ac:dyDescent="0.2">
      <c r="A74" s="7" t="str">
        <f t="shared" si="8"/>
        <v>072-w01-p1</v>
      </c>
      <c r="B74" s="8" t="s">
        <v>92</v>
      </c>
      <c r="C74" s="8" t="s">
        <v>18</v>
      </c>
      <c r="D74" s="8">
        <v>1</v>
      </c>
      <c r="E74" s="8" t="s">
        <v>19</v>
      </c>
      <c r="F74" s="8" t="str">
        <f t="shared" si="9"/>
        <v>072-w01.jpg</v>
      </c>
      <c r="G74" s="8" t="str">
        <f t="shared" si="10"/>
        <v>images/072-w01.jpg</v>
      </c>
      <c r="H74" s="8" t="str">
        <f t="shared" si="11"/>
        <v>https://scholarbo.github.io/soseki-manuscripts/images/072-w01.jpg</v>
      </c>
      <c r="I74" s="8"/>
      <c r="J74" s="8" t="str">
        <f t="shared" si="12"/>
        <v>images/072-w01.jpg</v>
      </c>
      <c r="K74" s="8"/>
      <c r="L74" s="8"/>
      <c r="M74" s="7" t="str">
        <f t="shared" si="13"/>
        <v>072 第1頁</v>
      </c>
      <c r="N74" s="7" t="str">
        <f t="shared" si="14"/>
        <v>manifest-072-w01</v>
      </c>
      <c r="O74" s="7" t="str">
        <f t="shared" si="15"/>
        <v>canvas-072-w01</v>
      </c>
      <c r="P74" s="8" t="s">
        <v>20</v>
      </c>
      <c r="Q74" s="8"/>
    </row>
    <row r="75" spans="1:17" ht="16" customHeight="1" x14ac:dyDescent="0.2">
      <c r="A75" s="7" t="str">
        <f t="shared" si="8"/>
        <v>073-w01-p1</v>
      </c>
      <c r="B75" s="8" t="s">
        <v>93</v>
      </c>
      <c r="C75" s="8" t="s">
        <v>18</v>
      </c>
      <c r="D75" s="8">
        <v>1</v>
      </c>
      <c r="E75" s="8" t="s">
        <v>19</v>
      </c>
      <c r="F75" s="8" t="str">
        <f t="shared" si="9"/>
        <v>073-w01.jpg</v>
      </c>
      <c r="G75" s="8" t="str">
        <f t="shared" si="10"/>
        <v>images/073-w01.jpg</v>
      </c>
      <c r="H75" s="8" t="str">
        <f t="shared" si="11"/>
        <v>https://scholarbo.github.io/soseki-manuscripts/images/073-w01.jpg</v>
      </c>
      <c r="I75" s="8"/>
      <c r="J75" s="8" t="str">
        <f t="shared" si="12"/>
        <v>images/073-w01.jpg</v>
      </c>
      <c r="K75" s="8"/>
      <c r="L75" s="8"/>
      <c r="M75" s="7" t="str">
        <f t="shared" si="13"/>
        <v>073 第1頁</v>
      </c>
      <c r="N75" s="7" t="str">
        <f t="shared" si="14"/>
        <v>manifest-073-w01</v>
      </c>
      <c r="O75" s="7" t="str">
        <f t="shared" si="15"/>
        <v>canvas-073-w01</v>
      </c>
      <c r="P75" s="8" t="s">
        <v>20</v>
      </c>
      <c r="Q75" s="8"/>
    </row>
    <row r="76" spans="1:17" ht="16" customHeight="1" x14ac:dyDescent="0.2">
      <c r="A76" s="7" t="str">
        <f t="shared" si="8"/>
        <v>074-w01-p1</v>
      </c>
      <c r="B76" s="8" t="s">
        <v>94</v>
      </c>
      <c r="C76" s="8" t="s">
        <v>18</v>
      </c>
      <c r="D76" s="8">
        <v>1</v>
      </c>
      <c r="E76" s="8" t="s">
        <v>19</v>
      </c>
      <c r="F76" s="8" t="str">
        <f t="shared" si="9"/>
        <v>074-w01.jpg</v>
      </c>
      <c r="G76" s="8" t="str">
        <f t="shared" si="10"/>
        <v>images/074-w01.jpg</v>
      </c>
      <c r="H76" s="8" t="str">
        <f t="shared" si="11"/>
        <v>https://scholarbo.github.io/soseki-manuscripts/images/074-w01.jpg</v>
      </c>
      <c r="I76" s="8"/>
      <c r="J76" s="8" t="str">
        <f t="shared" si="12"/>
        <v>images/074-w01.jpg</v>
      </c>
      <c r="K76" s="8"/>
      <c r="L76" s="8"/>
      <c r="M76" s="7" t="str">
        <f t="shared" si="13"/>
        <v>074 第1頁</v>
      </c>
      <c r="N76" s="7" t="str">
        <f t="shared" si="14"/>
        <v>manifest-074-w01</v>
      </c>
      <c r="O76" s="7" t="str">
        <f t="shared" si="15"/>
        <v>canvas-074-w01</v>
      </c>
      <c r="P76" s="8" t="s">
        <v>20</v>
      </c>
      <c r="Q76" s="8"/>
    </row>
    <row r="77" spans="1:17" ht="16" customHeight="1" x14ac:dyDescent="0.2">
      <c r="A77" s="7" t="str">
        <f t="shared" si="8"/>
        <v>075-w01-p1</v>
      </c>
      <c r="B77" s="8" t="s">
        <v>95</v>
      </c>
      <c r="C77" s="8" t="s">
        <v>18</v>
      </c>
      <c r="D77" s="8">
        <v>1</v>
      </c>
      <c r="E77" s="8" t="s">
        <v>19</v>
      </c>
      <c r="F77" s="8" t="str">
        <f t="shared" si="9"/>
        <v>075-w01.jpg</v>
      </c>
      <c r="G77" s="8" t="str">
        <f t="shared" si="10"/>
        <v>images/075-w01.jpg</v>
      </c>
      <c r="H77" s="8" t="str">
        <f t="shared" si="11"/>
        <v>https://scholarbo.github.io/soseki-manuscripts/images/075-w01.jpg</v>
      </c>
      <c r="I77" s="8"/>
      <c r="J77" s="8" t="str">
        <f t="shared" si="12"/>
        <v>images/075-w01.jpg</v>
      </c>
      <c r="K77" s="8"/>
      <c r="L77" s="8"/>
      <c r="M77" s="7" t="str">
        <f t="shared" si="13"/>
        <v>075 第1頁</v>
      </c>
      <c r="N77" s="7" t="str">
        <f t="shared" si="14"/>
        <v>manifest-075-w01</v>
      </c>
      <c r="O77" s="7" t="str">
        <f t="shared" si="15"/>
        <v>canvas-075-w01</v>
      </c>
      <c r="P77" s="8" t="s">
        <v>20</v>
      </c>
      <c r="Q77" s="8"/>
    </row>
    <row r="78" spans="1:17" ht="16" customHeight="1" x14ac:dyDescent="0.2">
      <c r="A78" s="7" t="str">
        <f t="shared" si="8"/>
        <v>076-w01-p1</v>
      </c>
      <c r="B78" s="8" t="s">
        <v>96</v>
      </c>
      <c r="C78" s="8" t="s">
        <v>18</v>
      </c>
      <c r="D78" s="8">
        <v>1</v>
      </c>
      <c r="E78" s="8" t="s">
        <v>19</v>
      </c>
      <c r="F78" s="8" t="str">
        <f t="shared" si="9"/>
        <v>076-w01.jpg</v>
      </c>
      <c r="G78" s="8" t="str">
        <f t="shared" si="10"/>
        <v>images/076-w01.jpg</v>
      </c>
      <c r="H78" s="8" t="str">
        <f t="shared" si="11"/>
        <v>https://scholarbo.github.io/soseki-manuscripts/images/076-w01.jpg</v>
      </c>
      <c r="I78" s="8"/>
      <c r="J78" s="8" t="str">
        <f t="shared" si="12"/>
        <v>images/076-w01.jpg</v>
      </c>
      <c r="K78" s="8"/>
      <c r="L78" s="8"/>
      <c r="M78" s="7" t="str">
        <f t="shared" si="13"/>
        <v>076 第1頁</v>
      </c>
      <c r="N78" s="7" t="str">
        <f t="shared" si="14"/>
        <v>manifest-076-w01</v>
      </c>
      <c r="O78" s="7" t="str">
        <f t="shared" si="15"/>
        <v>canvas-076-w01</v>
      </c>
      <c r="P78" s="8" t="s">
        <v>20</v>
      </c>
      <c r="Q78" s="8"/>
    </row>
    <row r="79" spans="1:17" ht="32" customHeight="1" x14ac:dyDescent="0.2">
      <c r="A79" s="7" t="str">
        <f t="shared" si="8"/>
        <v>077-w01-p1</v>
      </c>
      <c r="B79" s="8" t="s">
        <v>97</v>
      </c>
      <c r="C79" s="8" t="s">
        <v>18</v>
      </c>
      <c r="D79" s="8">
        <v>1</v>
      </c>
      <c r="E79" s="8" t="s">
        <v>19</v>
      </c>
      <c r="F79" s="8" t="str">
        <f t="shared" si="9"/>
        <v>077-w01.jpg</v>
      </c>
      <c r="G79" s="8" t="str">
        <f t="shared" si="10"/>
        <v>images/077-w01.jpg</v>
      </c>
      <c r="H79" s="8" t="str">
        <f t="shared" si="11"/>
        <v>https://scholarbo.github.io/soseki-manuscripts/images/077-w01.jpg</v>
      </c>
      <c r="I79" s="8"/>
      <c r="J79" s="8" t="str">
        <f t="shared" si="12"/>
        <v>images/077-w01.jpg</v>
      </c>
      <c r="K79" s="8"/>
      <c r="L79" s="8"/>
      <c r="M79" s="7" t="str">
        <f t="shared" si="13"/>
        <v>077 第1頁</v>
      </c>
      <c r="N79" s="7" t="str">
        <f t="shared" si="14"/>
        <v>manifest-077-w01</v>
      </c>
      <c r="O79" s="7" t="str">
        <f t="shared" si="15"/>
        <v>canvas-077-w01</v>
      </c>
      <c r="P79" s="8" t="s">
        <v>20</v>
      </c>
      <c r="Q79" s="8"/>
    </row>
    <row r="80" spans="1:17" ht="32" customHeight="1" x14ac:dyDescent="0.2">
      <c r="A80" s="7" t="str">
        <f t="shared" si="8"/>
        <v>078-w01-p1</v>
      </c>
      <c r="B80" s="8" t="s">
        <v>98</v>
      </c>
      <c r="C80" s="8" t="s">
        <v>18</v>
      </c>
      <c r="D80" s="8">
        <v>1</v>
      </c>
      <c r="E80" s="8" t="s">
        <v>19</v>
      </c>
      <c r="F80" s="8" t="str">
        <f t="shared" si="9"/>
        <v>078-w01.jpg</v>
      </c>
      <c r="G80" s="8" t="str">
        <f t="shared" si="10"/>
        <v>images/078-w01.jpg</v>
      </c>
      <c r="H80" s="8" t="str">
        <f t="shared" si="11"/>
        <v>https://scholarbo.github.io/soseki-manuscripts/images/078-w01.jpg</v>
      </c>
      <c r="I80" s="8"/>
      <c r="J80" s="8" t="str">
        <f t="shared" si="12"/>
        <v>images/078-w01.jpg</v>
      </c>
      <c r="K80" s="8"/>
      <c r="L80" s="8"/>
      <c r="M80" s="7" t="str">
        <f t="shared" si="13"/>
        <v>078 第1頁</v>
      </c>
      <c r="N80" s="7" t="str">
        <f t="shared" si="14"/>
        <v>manifest-078-w01</v>
      </c>
      <c r="O80" s="7" t="str">
        <f t="shared" si="15"/>
        <v>canvas-078-w01</v>
      </c>
      <c r="P80" s="8" t="s">
        <v>20</v>
      </c>
      <c r="Q80" s="8"/>
    </row>
    <row r="81" spans="1:17" ht="32" customHeight="1" x14ac:dyDescent="0.2">
      <c r="A81" s="7" t="str">
        <f t="shared" si="8"/>
        <v>079-w01-p1</v>
      </c>
      <c r="B81" s="8" t="s">
        <v>99</v>
      </c>
      <c r="C81" s="8" t="s">
        <v>18</v>
      </c>
      <c r="D81" s="8">
        <v>1</v>
      </c>
      <c r="E81" s="8" t="s">
        <v>19</v>
      </c>
      <c r="F81" s="8" t="str">
        <f t="shared" si="9"/>
        <v>079-w01.jpg</v>
      </c>
      <c r="G81" s="8" t="str">
        <f t="shared" si="10"/>
        <v>images/079-w01.jpg</v>
      </c>
      <c r="H81" s="8" t="str">
        <f t="shared" si="11"/>
        <v>https://scholarbo.github.io/soseki-manuscripts/images/079-w01.jpg</v>
      </c>
      <c r="I81" s="8"/>
      <c r="J81" s="8" t="str">
        <f t="shared" si="12"/>
        <v>images/079-w01.jpg</v>
      </c>
      <c r="K81" s="8"/>
      <c r="L81" s="8"/>
      <c r="M81" s="7" t="str">
        <f t="shared" si="13"/>
        <v>079 第1頁</v>
      </c>
      <c r="N81" s="7" t="str">
        <f t="shared" si="14"/>
        <v>manifest-079-w01</v>
      </c>
      <c r="O81" s="7" t="str">
        <f t="shared" si="15"/>
        <v>canvas-079-w01</v>
      </c>
      <c r="P81" s="8" t="s">
        <v>20</v>
      </c>
      <c r="Q81" s="8"/>
    </row>
    <row r="82" spans="1:17" ht="32" customHeight="1" x14ac:dyDescent="0.2">
      <c r="A82" s="7" t="str">
        <f t="shared" si="8"/>
        <v>080-w01-p1</v>
      </c>
      <c r="B82" s="8" t="s">
        <v>100</v>
      </c>
      <c r="C82" s="8" t="s">
        <v>18</v>
      </c>
      <c r="D82" s="8">
        <v>1</v>
      </c>
      <c r="E82" s="8" t="s">
        <v>19</v>
      </c>
      <c r="F82" s="8" t="str">
        <f t="shared" si="9"/>
        <v>080-w01.jpg</v>
      </c>
      <c r="G82" s="8" t="str">
        <f t="shared" si="10"/>
        <v>images/080-w01.jpg</v>
      </c>
      <c r="H82" s="8" t="str">
        <f t="shared" si="11"/>
        <v>https://scholarbo.github.io/soseki-manuscripts/images/080-w01.jpg</v>
      </c>
      <c r="I82" s="8"/>
      <c r="J82" s="8" t="str">
        <f t="shared" si="12"/>
        <v>images/080-w01.jpg</v>
      </c>
      <c r="K82" s="8"/>
      <c r="L82" s="8"/>
      <c r="M82" s="7" t="str">
        <f t="shared" si="13"/>
        <v>080 第1頁</v>
      </c>
      <c r="N82" s="7" t="str">
        <f t="shared" si="14"/>
        <v>manifest-080-w01</v>
      </c>
      <c r="O82" s="7" t="str">
        <f t="shared" si="15"/>
        <v>canvas-080-w01</v>
      </c>
      <c r="P82" s="8" t="s">
        <v>20</v>
      </c>
      <c r="Q82" s="8"/>
    </row>
    <row r="83" spans="1:17" ht="32" customHeight="1" x14ac:dyDescent="0.2">
      <c r="A83" s="7" t="str">
        <f t="shared" si="8"/>
        <v>081-w01-p1</v>
      </c>
      <c r="B83" s="8" t="s">
        <v>101</v>
      </c>
      <c r="C83" s="8" t="s">
        <v>18</v>
      </c>
      <c r="D83" s="8">
        <v>1</v>
      </c>
      <c r="E83" s="8" t="s">
        <v>19</v>
      </c>
      <c r="F83" s="8" t="str">
        <f t="shared" si="9"/>
        <v>081-w01.jpg</v>
      </c>
      <c r="G83" s="8" t="str">
        <f t="shared" si="10"/>
        <v>images/081-w01.jpg</v>
      </c>
      <c r="H83" s="8" t="str">
        <f t="shared" si="11"/>
        <v>https://scholarbo.github.io/soseki-manuscripts/images/081-w01.jpg</v>
      </c>
      <c r="I83" s="8"/>
      <c r="J83" s="8" t="str">
        <f t="shared" si="12"/>
        <v>images/081-w01.jpg</v>
      </c>
      <c r="K83" s="8"/>
      <c r="L83" s="8"/>
      <c r="M83" s="7" t="str">
        <f t="shared" si="13"/>
        <v>081 第1頁</v>
      </c>
      <c r="N83" s="7" t="str">
        <f t="shared" si="14"/>
        <v>manifest-081-w01</v>
      </c>
      <c r="O83" s="7" t="str">
        <f t="shared" si="15"/>
        <v>canvas-081-w01</v>
      </c>
      <c r="P83" s="8" t="s">
        <v>20</v>
      </c>
      <c r="Q83" s="8"/>
    </row>
    <row r="84" spans="1:17" ht="32" customHeight="1" x14ac:dyDescent="0.2">
      <c r="A84" s="7" t="str">
        <f t="shared" si="8"/>
        <v>082-w01-p1</v>
      </c>
      <c r="B84" s="8" t="s">
        <v>102</v>
      </c>
      <c r="C84" s="8" t="s">
        <v>18</v>
      </c>
      <c r="D84" s="8">
        <v>1</v>
      </c>
      <c r="E84" s="8" t="s">
        <v>19</v>
      </c>
      <c r="F84" s="8" t="str">
        <f t="shared" si="9"/>
        <v>082-w01.jpg</v>
      </c>
      <c r="G84" s="8" t="str">
        <f t="shared" si="10"/>
        <v>images/082-w01.jpg</v>
      </c>
      <c r="H84" s="8" t="str">
        <f t="shared" si="11"/>
        <v>https://scholarbo.github.io/soseki-manuscripts/images/082-w01.jpg</v>
      </c>
      <c r="I84" s="8"/>
      <c r="J84" s="8" t="str">
        <f t="shared" si="12"/>
        <v>images/082-w01.jpg</v>
      </c>
      <c r="K84" s="8"/>
      <c r="L84" s="8"/>
      <c r="M84" s="7" t="str">
        <f t="shared" si="13"/>
        <v>082 第1頁</v>
      </c>
      <c r="N84" s="7" t="str">
        <f t="shared" si="14"/>
        <v>manifest-082-w01</v>
      </c>
      <c r="O84" s="7" t="str">
        <f t="shared" si="15"/>
        <v>canvas-082-w01</v>
      </c>
      <c r="P84" s="8" t="s">
        <v>20</v>
      </c>
      <c r="Q84" s="8"/>
    </row>
    <row r="85" spans="1:17" ht="32" customHeight="1" x14ac:dyDescent="0.2">
      <c r="A85" s="7" t="str">
        <f t="shared" si="8"/>
        <v>083-w01-p1</v>
      </c>
      <c r="B85" s="8" t="s">
        <v>103</v>
      </c>
      <c r="C85" s="8" t="s">
        <v>18</v>
      </c>
      <c r="D85" s="8">
        <v>1</v>
      </c>
      <c r="E85" s="8" t="s">
        <v>19</v>
      </c>
      <c r="F85" s="8" t="str">
        <f t="shared" si="9"/>
        <v>083-w01.jpg</v>
      </c>
      <c r="G85" s="8" t="str">
        <f t="shared" si="10"/>
        <v>images/083-w01.jpg</v>
      </c>
      <c r="H85" s="8" t="str">
        <f t="shared" si="11"/>
        <v>https://scholarbo.github.io/soseki-manuscripts/images/083-w01.jpg</v>
      </c>
      <c r="I85" s="8"/>
      <c r="J85" s="8" t="str">
        <f t="shared" si="12"/>
        <v>images/083-w01.jpg</v>
      </c>
      <c r="K85" s="8"/>
      <c r="L85" s="8"/>
      <c r="M85" s="7" t="str">
        <f t="shared" si="13"/>
        <v>083 第1頁</v>
      </c>
      <c r="N85" s="7" t="str">
        <f t="shared" si="14"/>
        <v>manifest-083-w01</v>
      </c>
      <c r="O85" s="7" t="str">
        <f t="shared" si="15"/>
        <v>canvas-083-w01</v>
      </c>
      <c r="P85" s="8" t="s">
        <v>20</v>
      </c>
      <c r="Q85" s="8"/>
    </row>
    <row r="86" spans="1:17" ht="32" customHeight="1" x14ac:dyDescent="0.2">
      <c r="A86" s="7" t="str">
        <f t="shared" si="8"/>
        <v>084-w01-p1</v>
      </c>
      <c r="B86" s="8" t="s">
        <v>104</v>
      </c>
      <c r="C86" s="8" t="s">
        <v>18</v>
      </c>
      <c r="D86" s="8">
        <v>1</v>
      </c>
      <c r="E86" s="8" t="s">
        <v>19</v>
      </c>
      <c r="F86" s="8" t="str">
        <f t="shared" si="9"/>
        <v>084-w01.jpg</v>
      </c>
      <c r="G86" s="8" t="str">
        <f t="shared" si="10"/>
        <v>images/084-w01.jpg</v>
      </c>
      <c r="H86" s="8" t="str">
        <f t="shared" si="11"/>
        <v>https://scholarbo.github.io/soseki-manuscripts/images/084-w01.jpg</v>
      </c>
      <c r="I86" s="8"/>
      <c r="J86" s="8" t="str">
        <f t="shared" si="12"/>
        <v>images/084-w01.jpg</v>
      </c>
      <c r="K86" s="8"/>
      <c r="L86" s="8"/>
      <c r="M86" s="7" t="str">
        <f t="shared" si="13"/>
        <v>084 第1頁</v>
      </c>
      <c r="N86" s="7" t="str">
        <f t="shared" si="14"/>
        <v>manifest-084-w01</v>
      </c>
      <c r="O86" s="7" t="str">
        <f t="shared" si="15"/>
        <v>canvas-084-w01</v>
      </c>
      <c r="P86" s="8" t="s">
        <v>20</v>
      </c>
      <c r="Q86" s="8"/>
    </row>
    <row r="87" spans="1:17" ht="32" customHeight="1" x14ac:dyDescent="0.2">
      <c r="A87" s="7" t="str">
        <f t="shared" si="8"/>
        <v>085-w01-p1</v>
      </c>
      <c r="B87" s="8" t="s">
        <v>105</v>
      </c>
      <c r="C87" s="8" t="s">
        <v>18</v>
      </c>
      <c r="D87" s="8">
        <v>1</v>
      </c>
      <c r="E87" s="8" t="s">
        <v>19</v>
      </c>
      <c r="F87" s="8" t="str">
        <f t="shared" si="9"/>
        <v>085-w01.jpg</v>
      </c>
      <c r="G87" s="8" t="str">
        <f t="shared" si="10"/>
        <v>images/085-w01.jpg</v>
      </c>
      <c r="H87" s="8" t="str">
        <f t="shared" si="11"/>
        <v>https://scholarbo.github.io/soseki-manuscripts/images/085-w01.jpg</v>
      </c>
      <c r="I87" s="8"/>
      <c r="J87" s="8" t="str">
        <f t="shared" si="12"/>
        <v>images/085-w01.jpg</v>
      </c>
      <c r="K87" s="8"/>
      <c r="L87" s="8"/>
      <c r="M87" s="7" t="str">
        <f t="shared" si="13"/>
        <v>085 第1頁</v>
      </c>
      <c r="N87" s="7" t="str">
        <f t="shared" si="14"/>
        <v>manifest-085-w01</v>
      </c>
      <c r="O87" s="7" t="str">
        <f t="shared" si="15"/>
        <v>canvas-085-w01</v>
      </c>
      <c r="P87" s="8" t="s">
        <v>20</v>
      </c>
      <c r="Q87" s="8"/>
    </row>
    <row r="88" spans="1:17" ht="32" customHeight="1" x14ac:dyDescent="0.2">
      <c r="A88" s="7" t="str">
        <f t="shared" si="8"/>
        <v>086-w01-p1</v>
      </c>
      <c r="B88" s="8" t="s">
        <v>106</v>
      </c>
      <c r="C88" s="8" t="s">
        <v>18</v>
      </c>
      <c r="D88" s="8">
        <v>1</v>
      </c>
      <c r="E88" s="8" t="s">
        <v>19</v>
      </c>
      <c r="F88" s="8" t="str">
        <f t="shared" si="9"/>
        <v>086-w01.jpg</v>
      </c>
      <c r="G88" s="8" t="str">
        <f t="shared" si="10"/>
        <v>images/086-w01.jpg</v>
      </c>
      <c r="H88" s="8" t="str">
        <f t="shared" si="11"/>
        <v>https://scholarbo.github.io/soseki-manuscripts/images/086-w01.jpg</v>
      </c>
      <c r="I88" s="8"/>
      <c r="J88" s="8" t="str">
        <f t="shared" si="12"/>
        <v>images/086-w01.jpg</v>
      </c>
      <c r="K88" s="8"/>
      <c r="L88" s="8"/>
      <c r="M88" s="7" t="str">
        <f t="shared" si="13"/>
        <v>086 第1頁</v>
      </c>
      <c r="N88" s="7" t="str">
        <f t="shared" si="14"/>
        <v>manifest-086-w01</v>
      </c>
      <c r="O88" s="7" t="str">
        <f t="shared" si="15"/>
        <v>canvas-086-w01</v>
      </c>
      <c r="P88" s="8" t="s">
        <v>20</v>
      </c>
      <c r="Q88" s="8"/>
    </row>
    <row r="89" spans="1:17" ht="32" customHeight="1" x14ac:dyDescent="0.2">
      <c r="A89" s="7" t="str">
        <f t="shared" si="8"/>
        <v>087-w01-p1</v>
      </c>
      <c r="B89" s="8" t="s">
        <v>107</v>
      </c>
      <c r="C89" s="8" t="s">
        <v>18</v>
      </c>
      <c r="D89" s="8">
        <v>1</v>
      </c>
      <c r="E89" s="8" t="s">
        <v>19</v>
      </c>
      <c r="F89" s="8" t="str">
        <f t="shared" si="9"/>
        <v>087-w01.jpg</v>
      </c>
      <c r="G89" s="8" t="str">
        <f t="shared" si="10"/>
        <v>images/087-w01.jpg</v>
      </c>
      <c r="H89" s="8" t="str">
        <f t="shared" si="11"/>
        <v>https://scholarbo.github.io/soseki-manuscripts/images/087-w01.jpg</v>
      </c>
      <c r="I89" s="8"/>
      <c r="J89" s="8" t="str">
        <f t="shared" si="12"/>
        <v>images/087-w01.jpg</v>
      </c>
      <c r="K89" s="8"/>
      <c r="L89" s="8"/>
      <c r="M89" s="7" t="str">
        <f t="shared" si="13"/>
        <v>087 第1頁</v>
      </c>
      <c r="N89" s="7" t="str">
        <f t="shared" si="14"/>
        <v>manifest-087-w01</v>
      </c>
      <c r="O89" s="7" t="str">
        <f t="shared" si="15"/>
        <v>canvas-087-w01</v>
      </c>
      <c r="P89" s="8" t="s">
        <v>20</v>
      </c>
      <c r="Q89" s="8"/>
    </row>
    <row r="90" spans="1:17" ht="32" customHeight="1" x14ac:dyDescent="0.2">
      <c r="A90" s="7" t="str">
        <f t="shared" si="8"/>
        <v>088-w01-p1</v>
      </c>
      <c r="B90" s="8" t="s">
        <v>108</v>
      </c>
      <c r="C90" s="8" t="s">
        <v>18</v>
      </c>
      <c r="D90" s="8">
        <v>1</v>
      </c>
      <c r="E90" s="8" t="s">
        <v>19</v>
      </c>
      <c r="F90" s="8" t="str">
        <f t="shared" si="9"/>
        <v>088-w01.jpg</v>
      </c>
      <c r="G90" s="8" t="str">
        <f t="shared" si="10"/>
        <v>images/088-w01.jpg</v>
      </c>
      <c r="H90" s="8" t="str">
        <f t="shared" si="11"/>
        <v>https://scholarbo.github.io/soseki-manuscripts/images/088-w01.jpg</v>
      </c>
      <c r="I90" s="8"/>
      <c r="J90" s="8" t="str">
        <f t="shared" si="12"/>
        <v>images/088-w01.jpg</v>
      </c>
      <c r="K90" s="8"/>
      <c r="L90" s="8"/>
      <c r="M90" s="7" t="str">
        <f t="shared" si="13"/>
        <v>088 第1頁</v>
      </c>
      <c r="N90" s="7" t="str">
        <f t="shared" si="14"/>
        <v>manifest-088-w01</v>
      </c>
      <c r="O90" s="7" t="str">
        <f t="shared" si="15"/>
        <v>canvas-088-w01</v>
      </c>
      <c r="P90" s="8" t="s">
        <v>20</v>
      </c>
      <c r="Q90" s="8"/>
    </row>
    <row r="91" spans="1:17" ht="32" customHeight="1" x14ac:dyDescent="0.2">
      <c r="A91" s="7" t="str">
        <f t="shared" si="8"/>
        <v>089-w01-p1</v>
      </c>
      <c r="B91" s="8" t="s">
        <v>109</v>
      </c>
      <c r="C91" s="8" t="s">
        <v>18</v>
      </c>
      <c r="D91" s="8">
        <v>1</v>
      </c>
      <c r="E91" s="8" t="s">
        <v>19</v>
      </c>
      <c r="F91" s="8" t="str">
        <f t="shared" si="9"/>
        <v>089-w01.jpg</v>
      </c>
      <c r="G91" s="8" t="str">
        <f t="shared" si="10"/>
        <v>images/089-w01.jpg</v>
      </c>
      <c r="H91" s="8" t="str">
        <f t="shared" si="11"/>
        <v>https://scholarbo.github.io/soseki-manuscripts/images/089-w01.jpg</v>
      </c>
      <c r="I91" s="8"/>
      <c r="J91" s="8" t="str">
        <f t="shared" si="12"/>
        <v>images/089-w01.jpg</v>
      </c>
      <c r="K91" s="8"/>
      <c r="L91" s="8"/>
      <c r="M91" s="7" t="str">
        <f t="shared" si="13"/>
        <v>089 第1頁</v>
      </c>
      <c r="N91" s="7" t="str">
        <f t="shared" si="14"/>
        <v>manifest-089-w01</v>
      </c>
      <c r="O91" s="7" t="str">
        <f t="shared" si="15"/>
        <v>canvas-089-w01</v>
      </c>
      <c r="P91" s="8" t="s">
        <v>20</v>
      </c>
      <c r="Q91" s="8"/>
    </row>
    <row r="92" spans="1:17" ht="32" customHeight="1" x14ac:dyDescent="0.2">
      <c r="A92" s="7" t="str">
        <f t="shared" si="8"/>
        <v>090-w01-p1</v>
      </c>
      <c r="B92" s="8" t="s">
        <v>110</v>
      </c>
      <c r="C92" s="8" t="s">
        <v>18</v>
      </c>
      <c r="D92" s="8">
        <v>1</v>
      </c>
      <c r="E92" s="8" t="s">
        <v>19</v>
      </c>
      <c r="F92" s="8" t="str">
        <f t="shared" si="9"/>
        <v>090-w01.jpg</v>
      </c>
      <c r="G92" s="8" t="str">
        <f t="shared" si="10"/>
        <v>images/090-w01.jpg</v>
      </c>
      <c r="H92" s="8" t="str">
        <f t="shared" si="11"/>
        <v>https://scholarbo.github.io/soseki-manuscripts/images/090-w01.jpg</v>
      </c>
      <c r="I92" s="8"/>
      <c r="J92" s="8" t="str">
        <f t="shared" si="12"/>
        <v>images/090-w01.jpg</v>
      </c>
      <c r="K92" s="8"/>
      <c r="L92" s="8"/>
      <c r="M92" s="7" t="str">
        <f t="shared" si="13"/>
        <v>090 第1頁</v>
      </c>
      <c r="N92" s="7" t="str">
        <f t="shared" si="14"/>
        <v>manifest-090-w01</v>
      </c>
      <c r="O92" s="7" t="str">
        <f t="shared" si="15"/>
        <v>canvas-090-w01</v>
      </c>
      <c r="P92" s="8" t="s">
        <v>20</v>
      </c>
      <c r="Q92" s="8"/>
    </row>
    <row r="93" spans="1:17" ht="32" customHeight="1" x14ac:dyDescent="0.2">
      <c r="A93" s="7" t="str">
        <f t="shared" si="8"/>
        <v>091-w01-p1</v>
      </c>
      <c r="B93" s="8" t="s">
        <v>111</v>
      </c>
      <c r="C93" s="8" t="s">
        <v>18</v>
      </c>
      <c r="D93" s="8">
        <v>1</v>
      </c>
      <c r="E93" s="8" t="s">
        <v>19</v>
      </c>
      <c r="F93" s="8" t="str">
        <f t="shared" si="9"/>
        <v>091-w01.jpg</v>
      </c>
      <c r="G93" s="8" t="str">
        <f t="shared" si="10"/>
        <v>images/091-w01.jpg</v>
      </c>
      <c r="H93" s="8" t="str">
        <f t="shared" si="11"/>
        <v>https://scholarbo.github.io/soseki-manuscripts/images/091-w01.jpg</v>
      </c>
      <c r="I93" s="8"/>
      <c r="J93" s="8" t="str">
        <f t="shared" si="12"/>
        <v>images/091-w01.jpg</v>
      </c>
      <c r="K93" s="8"/>
      <c r="L93" s="8"/>
      <c r="M93" s="7" t="str">
        <f t="shared" si="13"/>
        <v>091 第1頁</v>
      </c>
      <c r="N93" s="7" t="str">
        <f t="shared" si="14"/>
        <v>manifest-091-w01</v>
      </c>
      <c r="O93" s="7" t="str">
        <f t="shared" si="15"/>
        <v>canvas-091-w01</v>
      </c>
      <c r="P93" s="8" t="s">
        <v>20</v>
      </c>
      <c r="Q93" s="8"/>
    </row>
    <row r="94" spans="1:17" ht="32" customHeight="1" x14ac:dyDescent="0.2">
      <c r="A94" s="7" t="str">
        <f t="shared" si="8"/>
        <v>092-w01-p1</v>
      </c>
      <c r="B94" s="8" t="s">
        <v>112</v>
      </c>
      <c r="C94" s="8" t="s">
        <v>18</v>
      </c>
      <c r="D94" s="8">
        <v>1</v>
      </c>
      <c r="E94" s="8" t="s">
        <v>19</v>
      </c>
      <c r="F94" s="8" t="str">
        <f t="shared" si="9"/>
        <v>092-w01.jpg</v>
      </c>
      <c r="G94" s="8" t="str">
        <f t="shared" si="10"/>
        <v>images/092-w01.jpg</v>
      </c>
      <c r="H94" s="8" t="str">
        <f t="shared" si="11"/>
        <v>https://scholarbo.github.io/soseki-manuscripts/images/092-w01.jpg</v>
      </c>
      <c r="I94" s="8"/>
      <c r="J94" s="8" t="str">
        <f t="shared" si="12"/>
        <v>images/092-w01.jpg</v>
      </c>
      <c r="K94" s="8"/>
      <c r="L94" s="8"/>
      <c r="M94" s="7" t="str">
        <f t="shared" si="13"/>
        <v>092 第1頁</v>
      </c>
      <c r="N94" s="7" t="str">
        <f t="shared" si="14"/>
        <v>manifest-092-w01</v>
      </c>
      <c r="O94" s="7" t="str">
        <f t="shared" si="15"/>
        <v>canvas-092-w01</v>
      </c>
      <c r="P94" s="8" t="s">
        <v>20</v>
      </c>
      <c r="Q94" s="8"/>
    </row>
    <row r="95" spans="1:17" ht="32" customHeight="1" x14ac:dyDescent="0.2">
      <c r="A95" s="7" t="str">
        <f t="shared" si="8"/>
        <v>093-w01-p1</v>
      </c>
      <c r="B95" s="8" t="s">
        <v>113</v>
      </c>
      <c r="C95" s="8" t="s">
        <v>18</v>
      </c>
      <c r="D95" s="8">
        <v>1</v>
      </c>
      <c r="E95" s="8" t="s">
        <v>19</v>
      </c>
      <c r="F95" s="8" t="str">
        <f t="shared" si="9"/>
        <v>093-w01.jpg</v>
      </c>
      <c r="G95" s="8" t="str">
        <f t="shared" si="10"/>
        <v>images/093-w01.jpg</v>
      </c>
      <c r="H95" s="8" t="str">
        <f t="shared" si="11"/>
        <v>https://scholarbo.github.io/soseki-manuscripts/images/093-w01.jpg</v>
      </c>
      <c r="I95" s="8"/>
      <c r="J95" s="8" t="str">
        <f t="shared" si="12"/>
        <v>images/093-w01.jpg</v>
      </c>
      <c r="K95" s="8"/>
      <c r="L95" s="8"/>
      <c r="M95" s="7" t="str">
        <f t="shared" si="13"/>
        <v>093 第1頁</v>
      </c>
      <c r="N95" s="7" t="str">
        <f t="shared" si="14"/>
        <v>manifest-093-w01</v>
      </c>
      <c r="O95" s="7" t="str">
        <f t="shared" si="15"/>
        <v>canvas-093-w01</v>
      </c>
      <c r="P95" s="8" t="s">
        <v>20</v>
      </c>
      <c r="Q95" s="8"/>
    </row>
    <row r="96" spans="1:17" ht="32" customHeight="1" x14ac:dyDescent="0.2">
      <c r="A96" s="7" t="str">
        <f t="shared" si="8"/>
        <v>094-w01-p1</v>
      </c>
      <c r="B96" s="8" t="s">
        <v>114</v>
      </c>
      <c r="C96" s="8" t="s">
        <v>18</v>
      </c>
      <c r="D96" s="8">
        <v>1</v>
      </c>
      <c r="E96" s="8" t="s">
        <v>19</v>
      </c>
      <c r="F96" s="8" t="str">
        <f t="shared" si="9"/>
        <v>094-w01.jpg</v>
      </c>
      <c r="G96" s="8" t="str">
        <f t="shared" si="10"/>
        <v>images/094-w01.jpg</v>
      </c>
      <c r="H96" s="8" t="str">
        <f t="shared" si="11"/>
        <v>https://scholarbo.github.io/soseki-manuscripts/images/094-w01.jpg</v>
      </c>
      <c r="I96" s="8"/>
      <c r="J96" s="8" t="str">
        <f t="shared" si="12"/>
        <v>images/094-w01.jpg</v>
      </c>
      <c r="K96" s="8"/>
      <c r="L96" s="8"/>
      <c r="M96" s="7" t="str">
        <f t="shared" si="13"/>
        <v>094 第1頁</v>
      </c>
      <c r="N96" s="7" t="str">
        <f t="shared" si="14"/>
        <v>manifest-094-w01</v>
      </c>
      <c r="O96" s="7" t="str">
        <f t="shared" si="15"/>
        <v>canvas-094-w01</v>
      </c>
      <c r="P96" s="8" t="s">
        <v>20</v>
      </c>
      <c r="Q96" s="8"/>
    </row>
    <row r="97" spans="1:17" ht="32" customHeight="1" x14ac:dyDescent="0.2">
      <c r="A97" s="7" t="str">
        <f t="shared" si="8"/>
        <v>095-w01-p1</v>
      </c>
      <c r="B97" s="8" t="s">
        <v>115</v>
      </c>
      <c r="C97" s="8" t="s">
        <v>18</v>
      </c>
      <c r="D97" s="8">
        <v>1</v>
      </c>
      <c r="E97" s="8" t="s">
        <v>19</v>
      </c>
      <c r="F97" s="8" t="str">
        <f t="shared" si="9"/>
        <v>095-w01.jpg</v>
      </c>
      <c r="G97" s="8" t="str">
        <f t="shared" si="10"/>
        <v>images/095-w01.jpg</v>
      </c>
      <c r="H97" s="8" t="str">
        <f t="shared" si="11"/>
        <v>https://scholarbo.github.io/soseki-manuscripts/images/095-w01.jpg</v>
      </c>
      <c r="I97" s="8"/>
      <c r="J97" s="8" t="str">
        <f t="shared" si="12"/>
        <v>images/095-w01.jpg</v>
      </c>
      <c r="K97" s="8"/>
      <c r="L97" s="8"/>
      <c r="M97" s="7" t="str">
        <f t="shared" si="13"/>
        <v>095 第1頁</v>
      </c>
      <c r="N97" s="7" t="str">
        <f t="shared" si="14"/>
        <v>manifest-095-w01</v>
      </c>
      <c r="O97" s="7" t="str">
        <f t="shared" si="15"/>
        <v>canvas-095-w01</v>
      </c>
      <c r="P97" s="8" t="s">
        <v>20</v>
      </c>
      <c r="Q97" s="8"/>
    </row>
    <row r="98" spans="1:17" ht="32" customHeight="1" x14ac:dyDescent="0.2">
      <c r="A98" s="7" t="str">
        <f t="shared" si="8"/>
        <v>096-w01-p1</v>
      </c>
      <c r="B98" s="8" t="s">
        <v>116</v>
      </c>
      <c r="C98" s="8" t="s">
        <v>18</v>
      </c>
      <c r="D98" s="8">
        <v>1</v>
      </c>
      <c r="E98" s="8" t="s">
        <v>19</v>
      </c>
      <c r="F98" s="8" t="str">
        <f t="shared" si="9"/>
        <v>096-w01.jpg</v>
      </c>
      <c r="G98" s="8" t="str">
        <f t="shared" si="10"/>
        <v>images/096-w01.jpg</v>
      </c>
      <c r="H98" s="8" t="str">
        <f t="shared" si="11"/>
        <v>https://scholarbo.github.io/soseki-manuscripts/images/096-w01.jpg</v>
      </c>
      <c r="I98" s="8"/>
      <c r="J98" s="8" t="str">
        <f t="shared" si="12"/>
        <v>images/096-w01.jpg</v>
      </c>
      <c r="K98" s="8"/>
      <c r="L98" s="8"/>
      <c r="M98" s="7" t="str">
        <f t="shared" si="13"/>
        <v>096 第1頁</v>
      </c>
      <c r="N98" s="7" t="str">
        <f t="shared" si="14"/>
        <v>manifest-096-w01</v>
      </c>
      <c r="O98" s="7" t="str">
        <f t="shared" si="15"/>
        <v>canvas-096-w01</v>
      </c>
      <c r="P98" s="8" t="s">
        <v>20</v>
      </c>
      <c r="Q98" s="8"/>
    </row>
    <row r="99" spans="1:17" ht="32" customHeight="1" x14ac:dyDescent="0.2">
      <c r="A99" s="7" t="str">
        <f t="shared" si="8"/>
        <v>097-w01-p1</v>
      </c>
      <c r="B99" s="8" t="s">
        <v>117</v>
      </c>
      <c r="C99" s="8" t="s">
        <v>18</v>
      </c>
      <c r="D99" s="8">
        <v>1</v>
      </c>
      <c r="E99" s="8" t="s">
        <v>19</v>
      </c>
      <c r="F99" s="8" t="str">
        <f t="shared" si="9"/>
        <v>097-w01.jpg</v>
      </c>
      <c r="G99" s="8" t="str">
        <f t="shared" si="10"/>
        <v>images/097-w01.jpg</v>
      </c>
      <c r="H99" s="8" t="str">
        <f t="shared" si="11"/>
        <v>https://scholarbo.github.io/soseki-manuscripts/images/097-w01.jpg</v>
      </c>
      <c r="I99" s="8"/>
      <c r="J99" s="8" t="str">
        <f t="shared" si="12"/>
        <v>images/097-w01.jpg</v>
      </c>
      <c r="K99" s="8"/>
      <c r="L99" s="8"/>
      <c r="M99" s="7" t="str">
        <f t="shared" si="13"/>
        <v>097 第1頁</v>
      </c>
      <c r="N99" s="7" t="str">
        <f t="shared" si="14"/>
        <v>manifest-097-w01</v>
      </c>
      <c r="O99" s="7" t="str">
        <f t="shared" si="15"/>
        <v>canvas-097-w01</v>
      </c>
      <c r="P99" s="8" t="s">
        <v>20</v>
      </c>
      <c r="Q99" s="8"/>
    </row>
    <row r="100" spans="1:17" ht="32" customHeight="1" x14ac:dyDescent="0.2">
      <c r="A100" s="7" t="str">
        <f t="shared" si="8"/>
        <v>098-w01-p1</v>
      </c>
      <c r="B100" s="8" t="s">
        <v>118</v>
      </c>
      <c r="C100" s="8" t="s">
        <v>18</v>
      </c>
      <c r="D100" s="8">
        <v>1</v>
      </c>
      <c r="E100" s="8" t="s">
        <v>19</v>
      </c>
      <c r="F100" s="8" t="str">
        <f t="shared" si="9"/>
        <v>098-w01.jpg</v>
      </c>
      <c r="G100" s="8" t="str">
        <f t="shared" si="10"/>
        <v>images/098-w01.jpg</v>
      </c>
      <c r="H100" s="8" t="str">
        <f t="shared" si="11"/>
        <v>https://scholarbo.github.io/soseki-manuscripts/images/098-w01.jpg</v>
      </c>
      <c r="I100" s="8"/>
      <c r="J100" s="8" t="str">
        <f t="shared" si="12"/>
        <v>images/098-w01.jpg</v>
      </c>
      <c r="K100" s="8"/>
      <c r="L100" s="8"/>
      <c r="M100" s="7" t="str">
        <f t="shared" si="13"/>
        <v>098 第1頁</v>
      </c>
      <c r="N100" s="7" t="str">
        <f t="shared" si="14"/>
        <v>manifest-098-w01</v>
      </c>
      <c r="O100" s="7" t="str">
        <f t="shared" si="15"/>
        <v>canvas-098-w01</v>
      </c>
      <c r="P100" s="8" t="s">
        <v>20</v>
      </c>
      <c r="Q100" s="8"/>
    </row>
    <row r="101" spans="1:17" ht="32" customHeight="1" x14ac:dyDescent="0.2">
      <c r="A101" s="7" t="str">
        <f t="shared" si="8"/>
        <v>099-w01-p1</v>
      </c>
      <c r="B101" s="8" t="s">
        <v>119</v>
      </c>
      <c r="C101" s="8" t="s">
        <v>18</v>
      </c>
      <c r="D101" s="8">
        <v>1</v>
      </c>
      <c r="E101" s="8" t="s">
        <v>19</v>
      </c>
      <c r="F101" s="8" t="str">
        <f t="shared" si="9"/>
        <v>099-w01.jpg</v>
      </c>
      <c r="G101" s="8" t="str">
        <f t="shared" si="10"/>
        <v>images/099-w01.jpg</v>
      </c>
      <c r="H101" s="8" t="str">
        <f t="shared" si="11"/>
        <v>https://scholarbo.github.io/soseki-manuscripts/images/099-w01.jpg</v>
      </c>
      <c r="I101" s="8"/>
      <c r="J101" s="8" t="str">
        <f t="shared" si="12"/>
        <v>images/099-w01.jpg</v>
      </c>
      <c r="K101" s="8"/>
      <c r="L101" s="8"/>
      <c r="M101" s="7" t="str">
        <f t="shared" si="13"/>
        <v>099 第1頁</v>
      </c>
      <c r="N101" s="7" t="str">
        <f t="shared" si="14"/>
        <v>manifest-099-w01</v>
      </c>
      <c r="O101" s="7" t="str">
        <f t="shared" si="15"/>
        <v>canvas-099-w01</v>
      </c>
      <c r="P101" s="8" t="s">
        <v>20</v>
      </c>
      <c r="Q101" s="8"/>
    </row>
    <row r="102" spans="1:17" ht="32" customHeight="1" x14ac:dyDescent="0.2">
      <c r="A102" s="7" t="str">
        <f t="shared" si="8"/>
        <v>100-w01-p1</v>
      </c>
      <c r="B102" s="8" t="s">
        <v>120</v>
      </c>
      <c r="C102" s="8" t="s">
        <v>18</v>
      </c>
      <c r="D102" s="8">
        <v>1</v>
      </c>
      <c r="E102" s="8" t="s">
        <v>19</v>
      </c>
      <c r="F102" s="8" t="str">
        <f t="shared" si="9"/>
        <v>100-w01.jpg</v>
      </c>
      <c r="G102" s="8" t="str">
        <f t="shared" si="10"/>
        <v>images/100-w01.jpg</v>
      </c>
      <c r="H102" s="8" t="str">
        <f t="shared" si="11"/>
        <v>https://scholarbo.github.io/soseki-manuscripts/images/100-w01.jpg</v>
      </c>
      <c r="I102" s="8"/>
      <c r="J102" s="8" t="str">
        <f t="shared" si="12"/>
        <v>images/100-w01.jpg</v>
      </c>
      <c r="K102" s="8"/>
      <c r="L102" s="8"/>
      <c r="M102" s="7" t="str">
        <f t="shared" si="13"/>
        <v>100 第1頁</v>
      </c>
      <c r="N102" s="7" t="str">
        <f t="shared" si="14"/>
        <v>manifest-100-w01</v>
      </c>
      <c r="O102" s="7" t="str">
        <f t="shared" si="15"/>
        <v>canvas-100-w01</v>
      </c>
      <c r="P102" s="8" t="s">
        <v>20</v>
      </c>
      <c r="Q102" s="8"/>
    </row>
    <row r="103" spans="1:17" ht="32" customHeight="1" x14ac:dyDescent="0.2">
      <c r="A103" s="7" t="str">
        <f t="shared" si="8"/>
        <v>101-w01-p1</v>
      </c>
      <c r="B103" s="8" t="s">
        <v>121</v>
      </c>
      <c r="C103" s="8" t="s">
        <v>18</v>
      </c>
      <c r="D103" s="8">
        <v>1</v>
      </c>
      <c r="E103" s="8" t="s">
        <v>19</v>
      </c>
      <c r="F103" s="8" t="str">
        <f t="shared" si="9"/>
        <v>101-w01.jpg</v>
      </c>
      <c r="G103" s="8" t="str">
        <f t="shared" si="10"/>
        <v>images/101-w01.jpg</v>
      </c>
      <c r="H103" s="8" t="str">
        <f t="shared" si="11"/>
        <v>https://scholarbo.github.io/soseki-manuscripts/images/101-w01.jpg</v>
      </c>
      <c r="I103" s="8"/>
      <c r="J103" s="8" t="str">
        <f t="shared" si="12"/>
        <v>images/101-w01.jpg</v>
      </c>
      <c r="K103" s="8"/>
      <c r="L103" s="8"/>
      <c r="M103" s="7" t="str">
        <f t="shared" si="13"/>
        <v>101 第1頁</v>
      </c>
      <c r="N103" s="7" t="str">
        <f t="shared" si="14"/>
        <v>manifest-101-w01</v>
      </c>
      <c r="O103" s="7" t="str">
        <f t="shared" si="15"/>
        <v>canvas-101-w01</v>
      </c>
      <c r="P103" s="8" t="s">
        <v>20</v>
      </c>
      <c r="Q103" s="8"/>
    </row>
    <row r="104" spans="1:17" ht="32" customHeight="1" x14ac:dyDescent="0.2">
      <c r="A104" s="7" t="str">
        <f t="shared" si="8"/>
        <v>102-w01-p1</v>
      </c>
      <c r="B104" s="8" t="s">
        <v>122</v>
      </c>
      <c r="C104" s="8" t="s">
        <v>18</v>
      </c>
      <c r="D104" s="8">
        <v>1</v>
      </c>
      <c r="E104" s="8" t="s">
        <v>19</v>
      </c>
      <c r="F104" s="8" t="str">
        <f t="shared" si="9"/>
        <v>102-w01.jpg</v>
      </c>
      <c r="G104" s="8" t="str">
        <f t="shared" si="10"/>
        <v>images/102-w01.jpg</v>
      </c>
      <c r="H104" s="8" t="str">
        <f t="shared" si="11"/>
        <v>https://scholarbo.github.io/soseki-manuscripts/images/102-w01.jpg</v>
      </c>
      <c r="I104" s="8"/>
      <c r="J104" s="8" t="str">
        <f t="shared" si="12"/>
        <v>images/102-w01.jpg</v>
      </c>
      <c r="K104" s="8"/>
      <c r="L104" s="8"/>
      <c r="M104" s="7" t="str">
        <f t="shared" si="13"/>
        <v>102 第1頁</v>
      </c>
      <c r="N104" s="7" t="str">
        <f t="shared" si="14"/>
        <v>manifest-102-w01</v>
      </c>
      <c r="O104" s="7" t="str">
        <f t="shared" si="15"/>
        <v>canvas-102-w01</v>
      </c>
      <c r="P104" s="8" t="s">
        <v>20</v>
      </c>
      <c r="Q104" s="8"/>
    </row>
    <row r="105" spans="1:17" ht="32" customHeight="1" x14ac:dyDescent="0.2">
      <c r="A105" s="7" t="str">
        <f t="shared" si="8"/>
        <v>103-w01-p1</v>
      </c>
      <c r="B105" s="8" t="s">
        <v>123</v>
      </c>
      <c r="C105" s="8" t="s">
        <v>18</v>
      </c>
      <c r="D105" s="8">
        <v>1</v>
      </c>
      <c r="E105" s="8" t="s">
        <v>19</v>
      </c>
      <c r="F105" s="8" t="str">
        <f t="shared" si="9"/>
        <v>103-w01.jpg</v>
      </c>
      <c r="G105" s="8" t="str">
        <f t="shared" si="10"/>
        <v>images/103-w01.jpg</v>
      </c>
      <c r="H105" s="8" t="str">
        <f t="shared" si="11"/>
        <v>https://scholarbo.github.io/soseki-manuscripts/images/103-w01.jpg</v>
      </c>
      <c r="I105" s="8"/>
      <c r="J105" s="8" t="str">
        <f t="shared" si="12"/>
        <v>images/103-w01.jpg</v>
      </c>
      <c r="K105" s="8"/>
      <c r="L105" s="8"/>
      <c r="M105" s="7" t="str">
        <f t="shared" si="13"/>
        <v>103 第1頁</v>
      </c>
      <c r="N105" s="7" t="str">
        <f t="shared" si="14"/>
        <v>manifest-103-w01</v>
      </c>
      <c r="O105" s="7" t="str">
        <f t="shared" si="15"/>
        <v>canvas-103-w01</v>
      </c>
      <c r="P105" s="8" t="s">
        <v>20</v>
      </c>
      <c r="Q105" s="8"/>
    </row>
    <row r="106" spans="1:17" ht="32" customHeight="1" x14ac:dyDescent="0.2">
      <c r="A106" s="7" t="str">
        <f t="shared" si="8"/>
        <v>104-w01-p1</v>
      </c>
      <c r="B106" s="8" t="s">
        <v>124</v>
      </c>
      <c r="C106" s="8" t="s">
        <v>18</v>
      </c>
      <c r="D106" s="8">
        <v>1</v>
      </c>
      <c r="E106" s="8" t="s">
        <v>19</v>
      </c>
      <c r="F106" s="8" t="str">
        <f t="shared" si="9"/>
        <v>104-w01.jpg</v>
      </c>
      <c r="G106" s="8" t="str">
        <f t="shared" si="10"/>
        <v>images/104-w01.jpg</v>
      </c>
      <c r="H106" s="8" t="str">
        <f t="shared" si="11"/>
        <v>https://scholarbo.github.io/soseki-manuscripts/images/104-w01.jpg</v>
      </c>
      <c r="I106" s="8"/>
      <c r="J106" s="8" t="str">
        <f t="shared" si="12"/>
        <v>images/104-w01.jpg</v>
      </c>
      <c r="K106" s="8"/>
      <c r="L106" s="8"/>
      <c r="M106" s="7" t="str">
        <f t="shared" si="13"/>
        <v>104 第1頁</v>
      </c>
      <c r="N106" s="7" t="str">
        <f t="shared" si="14"/>
        <v>manifest-104-w01</v>
      </c>
      <c r="O106" s="7" t="str">
        <f t="shared" si="15"/>
        <v>canvas-104-w01</v>
      </c>
      <c r="P106" s="8" t="s">
        <v>20</v>
      </c>
      <c r="Q106" s="8"/>
    </row>
    <row r="107" spans="1:17" ht="32" customHeight="1" x14ac:dyDescent="0.2">
      <c r="A107" s="7" t="str">
        <f t="shared" si="8"/>
        <v>105-w01-p1</v>
      </c>
      <c r="B107" s="8" t="s">
        <v>125</v>
      </c>
      <c r="C107" s="8" t="s">
        <v>18</v>
      </c>
      <c r="D107" s="8">
        <v>1</v>
      </c>
      <c r="E107" s="8" t="s">
        <v>19</v>
      </c>
      <c r="F107" s="8" t="str">
        <f t="shared" si="9"/>
        <v>105-w01.jpg</v>
      </c>
      <c r="G107" s="8" t="str">
        <f t="shared" si="10"/>
        <v>images/105-w01.jpg</v>
      </c>
      <c r="H107" s="8" t="str">
        <f t="shared" si="11"/>
        <v>https://scholarbo.github.io/soseki-manuscripts/images/105-w01.jpg</v>
      </c>
      <c r="I107" s="8"/>
      <c r="J107" s="8" t="str">
        <f t="shared" si="12"/>
        <v>images/105-w01.jpg</v>
      </c>
      <c r="K107" s="8"/>
      <c r="L107" s="8"/>
      <c r="M107" s="7" t="str">
        <f t="shared" si="13"/>
        <v>105 第1頁</v>
      </c>
      <c r="N107" s="7" t="str">
        <f t="shared" si="14"/>
        <v>manifest-105-w01</v>
      </c>
      <c r="O107" s="7" t="str">
        <f t="shared" si="15"/>
        <v>canvas-105-w01</v>
      </c>
      <c r="P107" s="8" t="s">
        <v>20</v>
      </c>
      <c r="Q107" s="8"/>
    </row>
    <row r="108" spans="1:17" ht="32" customHeight="1" x14ac:dyDescent="0.2">
      <c r="A108" s="7" t="str">
        <f t="shared" si="8"/>
        <v>106-w01-p1</v>
      </c>
      <c r="B108" s="8" t="s">
        <v>126</v>
      </c>
      <c r="C108" s="8" t="s">
        <v>18</v>
      </c>
      <c r="D108" s="8">
        <v>1</v>
      </c>
      <c r="E108" s="8" t="s">
        <v>19</v>
      </c>
      <c r="F108" s="8" t="str">
        <f t="shared" si="9"/>
        <v>106-w01.jpg</v>
      </c>
      <c r="G108" s="8" t="str">
        <f t="shared" si="10"/>
        <v>images/106-w01.jpg</v>
      </c>
      <c r="H108" s="8" t="str">
        <f t="shared" si="11"/>
        <v>https://scholarbo.github.io/soseki-manuscripts/images/106-w01.jpg</v>
      </c>
      <c r="I108" s="8"/>
      <c r="J108" s="8" t="str">
        <f t="shared" si="12"/>
        <v>images/106-w01.jpg</v>
      </c>
      <c r="K108" s="8"/>
      <c r="L108" s="8"/>
      <c r="M108" s="7" t="str">
        <f t="shared" si="13"/>
        <v>106 第1頁</v>
      </c>
      <c r="N108" s="7" t="str">
        <f t="shared" si="14"/>
        <v>manifest-106-w01</v>
      </c>
      <c r="O108" s="7" t="str">
        <f t="shared" si="15"/>
        <v>canvas-106-w01</v>
      </c>
      <c r="P108" s="8" t="s">
        <v>20</v>
      </c>
      <c r="Q108" s="8"/>
    </row>
    <row r="109" spans="1:17" ht="32" customHeight="1" x14ac:dyDescent="0.2">
      <c r="A109" s="7" t="str">
        <f t="shared" si="8"/>
        <v>107-w01-p1</v>
      </c>
      <c r="B109" s="8" t="s">
        <v>127</v>
      </c>
      <c r="C109" s="8" t="s">
        <v>18</v>
      </c>
      <c r="D109" s="8">
        <v>1</v>
      </c>
      <c r="E109" s="8" t="s">
        <v>19</v>
      </c>
      <c r="F109" s="8" t="str">
        <f t="shared" si="9"/>
        <v>107-w01.jpg</v>
      </c>
      <c r="G109" s="8" t="str">
        <f t="shared" si="10"/>
        <v>images/107-w01.jpg</v>
      </c>
      <c r="H109" s="8" t="str">
        <f t="shared" si="11"/>
        <v>https://scholarbo.github.io/soseki-manuscripts/images/107-w01.jpg</v>
      </c>
      <c r="I109" s="8"/>
      <c r="J109" s="8" t="str">
        <f t="shared" si="12"/>
        <v>images/107-w01.jpg</v>
      </c>
      <c r="K109" s="8"/>
      <c r="L109" s="8"/>
      <c r="M109" s="7" t="str">
        <f t="shared" si="13"/>
        <v>107 第1頁</v>
      </c>
      <c r="N109" s="7" t="str">
        <f t="shared" si="14"/>
        <v>manifest-107-w01</v>
      </c>
      <c r="O109" s="7" t="str">
        <f t="shared" si="15"/>
        <v>canvas-107-w01</v>
      </c>
      <c r="P109" s="8" t="s">
        <v>20</v>
      </c>
      <c r="Q109" s="8"/>
    </row>
    <row r="110" spans="1:17" ht="32" customHeight="1" x14ac:dyDescent="0.2">
      <c r="A110" s="7" t="str">
        <f t="shared" si="8"/>
        <v>108-w01-p1</v>
      </c>
      <c r="B110" s="8" t="s">
        <v>128</v>
      </c>
      <c r="C110" s="8" t="s">
        <v>18</v>
      </c>
      <c r="D110" s="8">
        <v>1</v>
      </c>
      <c r="E110" s="8" t="s">
        <v>19</v>
      </c>
      <c r="F110" s="8" t="str">
        <f t="shared" si="9"/>
        <v>108-w01.jpg</v>
      </c>
      <c r="G110" s="8" t="str">
        <f t="shared" si="10"/>
        <v>images/108-w01.jpg</v>
      </c>
      <c r="H110" s="8" t="str">
        <f t="shared" si="11"/>
        <v>https://scholarbo.github.io/soseki-manuscripts/images/108-w01.jpg</v>
      </c>
      <c r="I110" s="8"/>
      <c r="J110" s="8" t="str">
        <f t="shared" si="12"/>
        <v>images/108-w01.jpg</v>
      </c>
      <c r="K110" s="8"/>
      <c r="L110" s="8"/>
      <c r="M110" s="7" t="str">
        <f t="shared" si="13"/>
        <v>108 第1頁</v>
      </c>
      <c r="N110" s="7" t="str">
        <f t="shared" si="14"/>
        <v>manifest-108-w01</v>
      </c>
      <c r="O110" s="7" t="str">
        <f t="shared" si="15"/>
        <v>canvas-108-w01</v>
      </c>
      <c r="P110" s="8" t="s">
        <v>20</v>
      </c>
      <c r="Q110" s="8"/>
    </row>
    <row r="111" spans="1:17" ht="32" customHeight="1" x14ac:dyDescent="0.2">
      <c r="A111" s="7" t="str">
        <f t="shared" si="8"/>
        <v>109-w01-p1</v>
      </c>
      <c r="B111" s="8" t="s">
        <v>129</v>
      </c>
      <c r="C111" s="8" t="s">
        <v>18</v>
      </c>
      <c r="D111" s="8">
        <v>1</v>
      </c>
      <c r="E111" s="8" t="s">
        <v>19</v>
      </c>
      <c r="F111" s="8" t="str">
        <f t="shared" si="9"/>
        <v>109-w01.jpg</v>
      </c>
      <c r="G111" s="8" t="str">
        <f t="shared" si="10"/>
        <v>images/109-w01.jpg</v>
      </c>
      <c r="H111" s="8" t="str">
        <f t="shared" si="11"/>
        <v>https://scholarbo.github.io/soseki-manuscripts/images/109-w01.jpg</v>
      </c>
      <c r="I111" s="8"/>
      <c r="J111" s="8" t="str">
        <f t="shared" si="12"/>
        <v>images/109-w01.jpg</v>
      </c>
      <c r="K111" s="8"/>
      <c r="L111" s="8"/>
      <c r="M111" s="7" t="str">
        <f t="shared" si="13"/>
        <v>109 第1頁</v>
      </c>
      <c r="N111" s="7" t="str">
        <f t="shared" si="14"/>
        <v>manifest-109-w01</v>
      </c>
      <c r="O111" s="7" t="str">
        <f t="shared" si="15"/>
        <v>canvas-109-w01</v>
      </c>
      <c r="P111" s="8" t="s">
        <v>20</v>
      </c>
      <c r="Q111" s="8"/>
    </row>
    <row r="112" spans="1:17" ht="32" customHeight="1" x14ac:dyDescent="0.2">
      <c r="A112" s="7" t="str">
        <f t="shared" si="8"/>
        <v>110-w01-p1</v>
      </c>
      <c r="B112" s="8" t="s">
        <v>130</v>
      </c>
      <c r="C112" s="8" t="s">
        <v>18</v>
      </c>
      <c r="D112" s="8">
        <v>1</v>
      </c>
      <c r="E112" s="8" t="s">
        <v>19</v>
      </c>
      <c r="F112" s="8" t="str">
        <f t="shared" si="9"/>
        <v>110-w01.jpg</v>
      </c>
      <c r="G112" s="8" t="str">
        <f t="shared" si="10"/>
        <v>images/110-w01.jpg</v>
      </c>
      <c r="H112" s="8" t="str">
        <f t="shared" si="11"/>
        <v>https://scholarbo.github.io/soseki-manuscripts/images/110-w01.jpg</v>
      </c>
      <c r="I112" s="8"/>
      <c r="J112" s="8" t="str">
        <f t="shared" si="12"/>
        <v>images/110-w01.jpg</v>
      </c>
      <c r="K112" s="8"/>
      <c r="L112" s="8"/>
      <c r="M112" s="7" t="str">
        <f t="shared" si="13"/>
        <v>110 第1頁</v>
      </c>
      <c r="N112" s="7" t="str">
        <f t="shared" si="14"/>
        <v>manifest-110-w01</v>
      </c>
      <c r="O112" s="7" t="str">
        <f t="shared" si="15"/>
        <v>canvas-110-w01</v>
      </c>
      <c r="P112" s="8" t="s">
        <v>20</v>
      </c>
      <c r="Q112" s="8"/>
    </row>
    <row r="113" spans="1:17" ht="32" customHeight="1" x14ac:dyDescent="0.2">
      <c r="A113" s="7" t="str">
        <f t="shared" si="8"/>
        <v>111-w01-p1</v>
      </c>
      <c r="B113" s="8" t="s">
        <v>131</v>
      </c>
      <c r="C113" s="8" t="s">
        <v>18</v>
      </c>
      <c r="D113" s="8">
        <v>1</v>
      </c>
      <c r="E113" s="8" t="s">
        <v>19</v>
      </c>
      <c r="F113" s="8" t="str">
        <f t="shared" si="9"/>
        <v>111-w01.jpg</v>
      </c>
      <c r="G113" s="8" t="str">
        <f t="shared" si="10"/>
        <v>images/111-w01.jpg</v>
      </c>
      <c r="H113" s="8" t="str">
        <f t="shared" si="11"/>
        <v>https://scholarbo.github.io/soseki-manuscripts/images/111-w01.jpg</v>
      </c>
      <c r="I113" s="8"/>
      <c r="J113" s="8" t="str">
        <f t="shared" si="12"/>
        <v>images/111-w01.jpg</v>
      </c>
      <c r="K113" s="8"/>
      <c r="L113" s="8"/>
      <c r="M113" s="7" t="str">
        <f t="shared" si="13"/>
        <v>111 第1頁</v>
      </c>
      <c r="N113" s="7" t="str">
        <f t="shared" si="14"/>
        <v>manifest-111-w01</v>
      </c>
      <c r="O113" s="7" t="str">
        <f t="shared" si="15"/>
        <v>canvas-111-w01</v>
      </c>
      <c r="P113" s="8" t="s">
        <v>20</v>
      </c>
      <c r="Q113" s="8"/>
    </row>
    <row r="114" spans="1:17" ht="32" customHeight="1" x14ac:dyDescent="0.2">
      <c r="A114" s="7" t="str">
        <f t="shared" si="8"/>
        <v>112-w01-p1</v>
      </c>
      <c r="B114" s="8" t="s">
        <v>132</v>
      </c>
      <c r="C114" s="8" t="s">
        <v>18</v>
      </c>
      <c r="D114" s="8">
        <v>1</v>
      </c>
      <c r="E114" s="8" t="s">
        <v>19</v>
      </c>
      <c r="F114" s="8" t="str">
        <f t="shared" si="9"/>
        <v>112-w01.jpg</v>
      </c>
      <c r="G114" s="8" t="str">
        <f t="shared" si="10"/>
        <v>images/112-w01.jpg</v>
      </c>
      <c r="H114" s="8" t="str">
        <f t="shared" si="11"/>
        <v>https://scholarbo.github.io/soseki-manuscripts/images/112-w01.jpg</v>
      </c>
      <c r="I114" s="8"/>
      <c r="J114" s="8" t="str">
        <f t="shared" si="12"/>
        <v>images/112-w01.jpg</v>
      </c>
      <c r="K114" s="8"/>
      <c r="L114" s="8"/>
      <c r="M114" s="7" t="str">
        <f t="shared" si="13"/>
        <v>112 第1頁</v>
      </c>
      <c r="N114" s="7" t="str">
        <f t="shared" si="14"/>
        <v>manifest-112-w01</v>
      </c>
      <c r="O114" s="7" t="str">
        <f t="shared" si="15"/>
        <v>canvas-112-w01</v>
      </c>
      <c r="P114" s="8" t="s">
        <v>20</v>
      </c>
      <c r="Q114" s="8"/>
    </row>
    <row r="115" spans="1:17" ht="32" customHeight="1" x14ac:dyDescent="0.2">
      <c r="A115" s="7" t="str">
        <f t="shared" si="8"/>
        <v>113-w01-p1</v>
      </c>
      <c r="B115" s="8" t="s">
        <v>133</v>
      </c>
      <c r="C115" s="8" t="s">
        <v>18</v>
      </c>
      <c r="D115" s="8">
        <v>1</v>
      </c>
      <c r="E115" s="8" t="s">
        <v>19</v>
      </c>
      <c r="F115" s="8" t="str">
        <f t="shared" si="9"/>
        <v>113-w01.jpg</v>
      </c>
      <c r="G115" s="8" t="str">
        <f t="shared" si="10"/>
        <v>images/113-w01.jpg</v>
      </c>
      <c r="H115" s="8" t="str">
        <f t="shared" si="11"/>
        <v>https://scholarbo.github.io/soseki-manuscripts/images/113-w01.jpg</v>
      </c>
      <c r="I115" s="8"/>
      <c r="J115" s="8" t="str">
        <f t="shared" si="12"/>
        <v>images/113-w01.jpg</v>
      </c>
      <c r="K115" s="8"/>
      <c r="L115" s="8"/>
      <c r="M115" s="7" t="str">
        <f t="shared" si="13"/>
        <v>113 第1頁</v>
      </c>
      <c r="N115" s="7" t="str">
        <f t="shared" si="14"/>
        <v>manifest-113-w01</v>
      </c>
      <c r="O115" s="7" t="str">
        <f t="shared" si="15"/>
        <v>canvas-113-w01</v>
      </c>
      <c r="P115" s="8" t="s">
        <v>20</v>
      </c>
      <c r="Q115" s="8"/>
    </row>
    <row r="116" spans="1:17" ht="16" customHeight="1" x14ac:dyDescent="0.2">
      <c r="A116" s="7" t="str">
        <f t="shared" si="8"/>
        <v>114-w01-p1</v>
      </c>
      <c r="B116" s="8" t="s">
        <v>134</v>
      </c>
      <c r="C116" s="8" t="s">
        <v>18</v>
      </c>
      <c r="D116" s="8">
        <v>1</v>
      </c>
      <c r="E116" s="8" t="s">
        <v>19</v>
      </c>
      <c r="F116" s="8" t="str">
        <f t="shared" si="9"/>
        <v>114-w01.jpg</v>
      </c>
      <c r="G116" s="8" t="str">
        <f t="shared" si="10"/>
        <v>images/114-w01.jpg</v>
      </c>
      <c r="H116" s="8" t="str">
        <f t="shared" si="11"/>
        <v>https://scholarbo.github.io/soseki-manuscripts/images/114-w01.jpg</v>
      </c>
      <c r="I116" s="8"/>
      <c r="J116" s="8" t="str">
        <f t="shared" si="12"/>
        <v>images/114-w01.jpg</v>
      </c>
      <c r="K116" s="8"/>
      <c r="L116" s="8"/>
      <c r="M116" s="7" t="str">
        <f t="shared" si="13"/>
        <v>114 第1頁</v>
      </c>
      <c r="N116" s="7" t="str">
        <f t="shared" si="14"/>
        <v>manifest-114-w01</v>
      </c>
      <c r="O116" s="7" t="str">
        <f t="shared" si="15"/>
        <v>canvas-114-w01</v>
      </c>
      <c r="P116" s="8" t="s">
        <v>20</v>
      </c>
      <c r="Q116" s="8"/>
    </row>
    <row r="117" spans="1:17" ht="16" customHeight="1" x14ac:dyDescent="0.2">
      <c r="A117" s="7" t="str">
        <f t="shared" si="8"/>
        <v>115-w01-p1</v>
      </c>
      <c r="B117" s="8" t="s">
        <v>135</v>
      </c>
      <c r="C117" s="8" t="s">
        <v>18</v>
      </c>
      <c r="D117" s="8">
        <v>1</v>
      </c>
      <c r="E117" s="8" t="s">
        <v>19</v>
      </c>
      <c r="F117" s="8" t="str">
        <f t="shared" si="9"/>
        <v>115-w01.jpg</v>
      </c>
      <c r="G117" s="8" t="str">
        <f t="shared" si="10"/>
        <v>images/115-w01.jpg</v>
      </c>
      <c r="H117" s="8" t="str">
        <f t="shared" si="11"/>
        <v>https://scholarbo.github.io/soseki-manuscripts/images/115-w01.jpg</v>
      </c>
      <c r="I117" s="8"/>
      <c r="J117" s="8" t="str">
        <f t="shared" si="12"/>
        <v>images/115-w01.jpg</v>
      </c>
      <c r="K117" s="8"/>
      <c r="L117" s="8"/>
      <c r="M117" s="7" t="str">
        <f t="shared" si="13"/>
        <v>115 第1頁</v>
      </c>
      <c r="N117" s="7" t="str">
        <f t="shared" si="14"/>
        <v>manifest-115-w01</v>
      </c>
      <c r="O117" s="7" t="str">
        <f t="shared" si="15"/>
        <v>canvas-115-w01</v>
      </c>
      <c r="P117" s="8" t="s">
        <v>20</v>
      </c>
      <c r="Q117" s="8"/>
    </row>
    <row r="118" spans="1:17" ht="16" customHeight="1" x14ac:dyDescent="0.2">
      <c r="A118" s="7" t="str">
        <f t="shared" si="8"/>
        <v>116-w01-p1</v>
      </c>
      <c r="B118" s="8" t="s">
        <v>136</v>
      </c>
      <c r="C118" s="8" t="s">
        <v>18</v>
      </c>
      <c r="D118" s="8">
        <v>1</v>
      </c>
      <c r="E118" s="8" t="s">
        <v>19</v>
      </c>
      <c r="F118" s="8" t="str">
        <f t="shared" si="9"/>
        <v>116-w01.jpg</v>
      </c>
      <c r="G118" s="8" t="str">
        <f t="shared" si="10"/>
        <v>images/116-w01.jpg</v>
      </c>
      <c r="H118" s="8" t="str">
        <f t="shared" si="11"/>
        <v>https://scholarbo.github.io/soseki-manuscripts/images/116-w01.jpg</v>
      </c>
      <c r="I118" s="8"/>
      <c r="J118" s="8" t="str">
        <f t="shared" si="12"/>
        <v>images/116-w01.jpg</v>
      </c>
      <c r="K118" s="8"/>
      <c r="L118" s="8"/>
      <c r="M118" s="7" t="str">
        <f t="shared" si="13"/>
        <v>116 第1頁</v>
      </c>
      <c r="N118" s="7" t="str">
        <f t="shared" si="14"/>
        <v>manifest-116-w01</v>
      </c>
      <c r="O118" s="7" t="str">
        <f t="shared" si="15"/>
        <v>canvas-116-w01</v>
      </c>
      <c r="P118" s="8" t="s">
        <v>20</v>
      </c>
      <c r="Q118" s="8"/>
    </row>
    <row r="119" spans="1:17" ht="16" customHeight="1" x14ac:dyDescent="0.2">
      <c r="A119" s="7" t="str">
        <f t="shared" si="8"/>
        <v>117-w01-p1</v>
      </c>
      <c r="B119" s="8" t="s">
        <v>137</v>
      </c>
      <c r="C119" s="8" t="s">
        <v>18</v>
      </c>
      <c r="D119" s="8">
        <v>1</v>
      </c>
      <c r="E119" s="8" t="s">
        <v>19</v>
      </c>
      <c r="F119" s="8" t="str">
        <f t="shared" si="9"/>
        <v>117-w01.jpg</v>
      </c>
      <c r="G119" s="8" t="str">
        <f t="shared" si="10"/>
        <v>images/117-w01.jpg</v>
      </c>
      <c r="H119" s="8" t="str">
        <f t="shared" si="11"/>
        <v>https://scholarbo.github.io/soseki-manuscripts/images/117-w01.jpg</v>
      </c>
      <c r="I119" s="8"/>
      <c r="J119" s="8" t="str">
        <f t="shared" si="12"/>
        <v>images/117-w01.jpg</v>
      </c>
      <c r="K119" s="8"/>
      <c r="L119" s="8"/>
      <c r="M119" s="7" t="str">
        <f t="shared" si="13"/>
        <v>117 第1頁</v>
      </c>
      <c r="N119" s="7" t="str">
        <f t="shared" si="14"/>
        <v>manifest-117-w01</v>
      </c>
      <c r="O119" s="7" t="str">
        <f t="shared" si="15"/>
        <v>canvas-117-w01</v>
      </c>
      <c r="P119" s="8" t="s">
        <v>20</v>
      </c>
      <c r="Q119" s="8"/>
    </row>
    <row r="120" spans="1:17" ht="16" customHeight="1" x14ac:dyDescent="0.2">
      <c r="A120" s="7" t="str">
        <f t="shared" si="8"/>
        <v>118-w01-p1</v>
      </c>
      <c r="B120" s="8" t="s">
        <v>138</v>
      </c>
      <c r="C120" s="8" t="s">
        <v>18</v>
      </c>
      <c r="D120" s="8">
        <v>1</v>
      </c>
      <c r="E120" s="8" t="s">
        <v>19</v>
      </c>
      <c r="F120" s="8" t="str">
        <f t="shared" si="9"/>
        <v>118-w01.jpg</v>
      </c>
      <c r="G120" s="8" t="str">
        <f t="shared" si="10"/>
        <v>images/118-w01.jpg</v>
      </c>
      <c r="H120" s="8" t="str">
        <f t="shared" si="11"/>
        <v>https://scholarbo.github.io/soseki-manuscripts/images/118-w01.jpg</v>
      </c>
      <c r="I120" s="8"/>
      <c r="J120" s="8" t="str">
        <f t="shared" si="12"/>
        <v>images/118-w01.jpg</v>
      </c>
      <c r="K120" s="8"/>
      <c r="L120" s="8"/>
      <c r="M120" s="7" t="str">
        <f t="shared" si="13"/>
        <v>118 第1頁</v>
      </c>
      <c r="N120" s="7" t="str">
        <f t="shared" si="14"/>
        <v>manifest-118-w01</v>
      </c>
      <c r="O120" s="7" t="str">
        <f t="shared" si="15"/>
        <v>canvas-118-w01</v>
      </c>
      <c r="P120" s="8" t="s">
        <v>20</v>
      </c>
      <c r="Q120" s="8"/>
    </row>
    <row r="121" spans="1:17" ht="16" customHeight="1" x14ac:dyDescent="0.2">
      <c r="A121" s="7" t="str">
        <f t="shared" si="8"/>
        <v>119-w01-p1</v>
      </c>
      <c r="B121" s="8" t="s">
        <v>139</v>
      </c>
      <c r="C121" s="8" t="s">
        <v>18</v>
      </c>
      <c r="D121" s="8">
        <v>1</v>
      </c>
      <c r="E121" s="8" t="s">
        <v>19</v>
      </c>
      <c r="F121" s="8" t="str">
        <f t="shared" si="9"/>
        <v>119-w01.jpg</v>
      </c>
      <c r="G121" s="8" t="str">
        <f t="shared" si="10"/>
        <v>images/119-w01.jpg</v>
      </c>
      <c r="H121" s="8" t="str">
        <f t="shared" si="11"/>
        <v>https://scholarbo.github.io/soseki-manuscripts/images/119-w01.jpg</v>
      </c>
      <c r="I121" s="8"/>
      <c r="J121" s="8" t="str">
        <f t="shared" si="12"/>
        <v>images/119-w01.jpg</v>
      </c>
      <c r="K121" s="8"/>
      <c r="L121" s="8"/>
      <c r="M121" s="7" t="str">
        <f t="shared" si="13"/>
        <v>119 第1頁</v>
      </c>
      <c r="N121" s="7" t="str">
        <f t="shared" si="14"/>
        <v>manifest-119-w01</v>
      </c>
      <c r="O121" s="7" t="str">
        <f t="shared" si="15"/>
        <v>canvas-119-w01</v>
      </c>
      <c r="P121" s="8" t="s">
        <v>20</v>
      </c>
      <c r="Q121" s="8"/>
    </row>
    <row r="122" spans="1:17" ht="16" customHeight="1" x14ac:dyDescent="0.2">
      <c r="A122" s="7" t="str">
        <f t="shared" si="8"/>
        <v>120-w01-p1</v>
      </c>
      <c r="B122" s="8" t="s">
        <v>140</v>
      </c>
      <c r="C122" s="8" t="s">
        <v>18</v>
      </c>
      <c r="D122" s="8">
        <v>1</v>
      </c>
      <c r="E122" s="8" t="s">
        <v>19</v>
      </c>
      <c r="F122" s="8" t="str">
        <f t="shared" si="9"/>
        <v>120-w01.jpg</v>
      </c>
      <c r="G122" s="8" t="str">
        <f t="shared" si="10"/>
        <v>images/120-w01.jpg</v>
      </c>
      <c r="H122" s="8" t="str">
        <f t="shared" si="11"/>
        <v>https://scholarbo.github.io/soseki-manuscripts/images/120-w01.jpg</v>
      </c>
      <c r="I122" s="8"/>
      <c r="J122" s="8" t="str">
        <f t="shared" si="12"/>
        <v>images/120-w01.jpg</v>
      </c>
      <c r="K122" s="8"/>
      <c r="L122" s="8"/>
      <c r="M122" s="7" t="str">
        <f t="shared" si="13"/>
        <v>120 第1頁</v>
      </c>
      <c r="N122" s="7" t="str">
        <f t="shared" si="14"/>
        <v>manifest-120-w01</v>
      </c>
      <c r="O122" s="7" t="str">
        <f t="shared" si="15"/>
        <v>canvas-120-w01</v>
      </c>
      <c r="P122" s="8" t="s">
        <v>20</v>
      </c>
      <c r="Q122" s="8"/>
    </row>
    <row r="123" spans="1:17" ht="32" customHeight="1" x14ac:dyDescent="0.2">
      <c r="A123" s="7" t="str">
        <f t="shared" si="8"/>
        <v>121-w01-p1</v>
      </c>
      <c r="B123" s="8" t="s">
        <v>141</v>
      </c>
      <c r="C123" s="8" t="s">
        <v>18</v>
      </c>
      <c r="D123" s="8">
        <v>1</v>
      </c>
      <c r="E123" s="8" t="s">
        <v>19</v>
      </c>
      <c r="F123" s="8" t="str">
        <f t="shared" si="9"/>
        <v>121-w01.jpg</v>
      </c>
      <c r="G123" s="8" t="str">
        <f t="shared" si="10"/>
        <v>images/121-w01.jpg</v>
      </c>
      <c r="H123" s="8" t="str">
        <f t="shared" si="11"/>
        <v>https://scholarbo.github.io/soseki-manuscripts/images/121-w01.jpg</v>
      </c>
      <c r="I123" s="8"/>
      <c r="J123" s="8" t="str">
        <f t="shared" si="12"/>
        <v>images/121-w01.jpg</v>
      </c>
      <c r="K123" s="8"/>
      <c r="L123" s="8"/>
      <c r="M123" s="7" t="str">
        <f t="shared" si="13"/>
        <v>121 第1頁</v>
      </c>
      <c r="N123" s="7" t="str">
        <f t="shared" si="14"/>
        <v>manifest-121-w01</v>
      </c>
      <c r="O123" s="7" t="str">
        <f t="shared" si="15"/>
        <v>canvas-121-w01</v>
      </c>
      <c r="P123" s="8" t="s">
        <v>20</v>
      </c>
      <c r="Q123" s="8"/>
    </row>
    <row r="124" spans="1:17" ht="32" customHeight="1" x14ac:dyDescent="0.2">
      <c r="A124" s="7" t="str">
        <f t="shared" si="8"/>
        <v>122-w01-p1</v>
      </c>
      <c r="B124" s="8" t="s">
        <v>142</v>
      </c>
      <c r="C124" s="8" t="s">
        <v>18</v>
      </c>
      <c r="D124" s="8">
        <v>1</v>
      </c>
      <c r="E124" s="8" t="s">
        <v>19</v>
      </c>
      <c r="F124" s="8" t="str">
        <f t="shared" si="9"/>
        <v>122-w01.jpg</v>
      </c>
      <c r="G124" s="8" t="str">
        <f t="shared" si="10"/>
        <v>images/122-w01.jpg</v>
      </c>
      <c r="H124" s="8" t="str">
        <f t="shared" si="11"/>
        <v>https://scholarbo.github.io/soseki-manuscripts/images/122-w01.jpg</v>
      </c>
      <c r="I124" s="8"/>
      <c r="J124" s="8" t="str">
        <f t="shared" si="12"/>
        <v>images/122-w01.jpg</v>
      </c>
      <c r="K124" s="8"/>
      <c r="L124" s="8"/>
      <c r="M124" s="7" t="str">
        <f t="shared" si="13"/>
        <v>122 第1頁</v>
      </c>
      <c r="N124" s="7" t="str">
        <f t="shared" si="14"/>
        <v>manifest-122-w01</v>
      </c>
      <c r="O124" s="7" t="str">
        <f t="shared" si="15"/>
        <v>canvas-122-w01</v>
      </c>
      <c r="P124" s="8" t="s">
        <v>20</v>
      </c>
      <c r="Q124" s="8"/>
    </row>
    <row r="125" spans="1:17" ht="32" customHeight="1" x14ac:dyDescent="0.2">
      <c r="A125" s="7" t="str">
        <f t="shared" si="8"/>
        <v>123-w01-p1</v>
      </c>
      <c r="B125" s="8" t="s">
        <v>143</v>
      </c>
      <c r="C125" s="8" t="s">
        <v>18</v>
      </c>
      <c r="D125" s="8">
        <v>1</v>
      </c>
      <c r="E125" s="8" t="s">
        <v>19</v>
      </c>
      <c r="F125" s="8" t="str">
        <f t="shared" si="9"/>
        <v>123-w01.jpg</v>
      </c>
      <c r="G125" s="8" t="str">
        <f t="shared" si="10"/>
        <v>images/123-w01.jpg</v>
      </c>
      <c r="H125" s="8" t="str">
        <f t="shared" si="11"/>
        <v>https://scholarbo.github.io/soseki-manuscripts/images/123-w01.jpg</v>
      </c>
      <c r="I125" s="8"/>
      <c r="J125" s="8" t="str">
        <f t="shared" si="12"/>
        <v>images/123-w01.jpg</v>
      </c>
      <c r="K125" s="8"/>
      <c r="L125" s="8"/>
      <c r="M125" s="7" t="str">
        <f t="shared" si="13"/>
        <v>123 第1頁</v>
      </c>
      <c r="N125" s="7" t="str">
        <f t="shared" si="14"/>
        <v>manifest-123-w01</v>
      </c>
      <c r="O125" s="7" t="str">
        <f t="shared" si="15"/>
        <v>canvas-123-w01</v>
      </c>
      <c r="P125" s="8" t="s">
        <v>20</v>
      </c>
      <c r="Q125" s="8"/>
    </row>
    <row r="126" spans="1:17" ht="16" customHeight="1" x14ac:dyDescent="0.2">
      <c r="A126" s="7" t="str">
        <f t="shared" si="8"/>
        <v>124-w01-p1</v>
      </c>
      <c r="B126" s="8" t="s">
        <v>144</v>
      </c>
      <c r="C126" s="8" t="s">
        <v>18</v>
      </c>
      <c r="D126" s="8">
        <v>1</v>
      </c>
      <c r="E126" s="8" t="s">
        <v>19</v>
      </c>
      <c r="F126" s="8" t="str">
        <f t="shared" si="9"/>
        <v>124-w01.jpg</v>
      </c>
      <c r="G126" s="8" t="str">
        <f t="shared" si="10"/>
        <v>images/124-w01.jpg</v>
      </c>
      <c r="H126" s="8" t="str">
        <f t="shared" si="11"/>
        <v>https://scholarbo.github.io/soseki-manuscripts/images/124-w01.jpg</v>
      </c>
      <c r="I126" s="8"/>
      <c r="J126" s="8" t="str">
        <f t="shared" si="12"/>
        <v>images/124-w01.jpg</v>
      </c>
      <c r="K126" s="8"/>
      <c r="L126" s="8"/>
      <c r="M126" s="7" t="str">
        <f t="shared" si="13"/>
        <v>124 第1頁</v>
      </c>
      <c r="N126" s="7" t="str">
        <f t="shared" si="14"/>
        <v>manifest-124-w01</v>
      </c>
      <c r="O126" s="7" t="str">
        <f t="shared" si="15"/>
        <v>canvas-124-w01</v>
      </c>
      <c r="P126" s="8" t="s">
        <v>20</v>
      </c>
      <c r="Q126" s="8"/>
    </row>
    <row r="127" spans="1:17" ht="32" customHeight="1" x14ac:dyDescent="0.2">
      <c r="A127" s="7" t="str">
        <f t="shared" si="8"/>
        <v>125-w01-p1</v>
      </c>
      <c r="B127" s="8" t="s">
        <v>145</v>
      </c>
      <c r="C127" s="8" t="s">
        <v>18</v>
      </c>
      <c r="D127" s="8">
        <v>1</v>
      </c>
      <c r="E127" s="8" t="s">
        <v>19</v>
      </c>
      <c r="F127" s="8" t="str">
        <f t="shared" si="9"/>
        <v>125-w01.jpg</v>
      </c>
      <c r="G127" s="8" t="str">
        <f t="shared" si="10"/>
        <v>images/125-w01.jpg</v>
      </c>
      <c r="H127" s="8" t="str">
        <f t="shared" si="11"/>
        <v>https://scholarbo.github.io/soseki-manuscripts/images/125-w01.jpg</v>
      </c>
      <c r="I127" s="8"/>
      <c r="J127" s="8" t="str">
        <f t="shared" si="12"/>
        <v>images/125-w01.jpg</v>
      </c>
      <c r="K127" s="8"/>
      <c r="L127" s="8"/>
      <c r="M127" s="7" t="str">
        <f t="shared" si="13"/>
        <v>125 第1頁</v>
      </c>
      <c r="N127" s="7" t="str">
        <f t="shared" si="14"/>
        <v>manifest-125-w01</v>
      </c>
      <c r="O127" s="7" t="str">
        <f t="shared" si="15"/>
        <v>canvas-125-w01</v>
      </c>
      <c r="P127" s="8" t="s">
        <v>20</v>
      </c>
      <c r="Q127" s="8"/>
    </row>
    <row r="128" spans="1:17" ht="16" customHeight="1" x14ac:dyDescent="0.2">
      <c r="A128" s="7" t="str">
        <f t="shared" si="8"/>
        <v>126-w01-p1</v>
      </c>
      <c r="B128" s="8" t="s">
        <v>146</v>
      </c>
      <c r="C128" s="8" t="s">
        <v>18</v>
      </c>
      <c r="D128" s="8">
        <v>1</v>
      </c>
      <c r="E128" s="8" t="s">
        <v>19</v>
      </c>
      <c r="F128" s="8" t="str">
        <f t="shared" si="9"/>
        <v>126-w01.jpg</v>
      </c>
      <c r="G128" s="8" t="str">
        <f t="shared" si="10"/>
        <v>images/126-w01.jpg</v>
      </c>
      <c r="H128" s="8" t="str">
        <f t="shared" si="11"/>
        <v>https://scholarbo.github.io/soseki-manuscripts/images/126-w01.jpg</v>
      </c>
      <c r="I128" s="8"/>
      <c r="J128" s="8" t="str">
        <f t="shared" si="12"/>
        <v>images/126-w01.jpg</v>
      </c>
      <c r="K128" s="8"/>
      <c r="L128" s="8"/>
      <c r="M128" s="7" t="str">
        <f t="shared" si="13"/>
        <v>126 第1頁</v>
      </c>
      <c r="N128" s="7" t="str">
        <f t="shared" si="14"/>
        <v>manifest-126-w01</v>
      </c>
      <c r="O128" s="7" t="str">
        <f t="shared" si="15"/>
        <v>canvas-126-w01</v>
      </c>
      <c r="P128" s="8" t="s">
        <v>20</v>
      </c>
      <c r="Q128" s="8"/>
    </row>
    <row r="129" spans="1:17" ht="16" customHeight="1" x14ac:dyDescent="0.2">
      <c r="A129" s="7" t="str">
        <f t="shared" si="8"/>
        <v>127-w01-p1</v>
      </c>
      <c r="B129" s="8" t="s">
        <v>147</v>
      </c>
      <c r="C129" s="8" t="s">
        <v>18</v>
      </c>
      <c r="D129" s="8">
        <v>1</v>
      </c>
      <c r="E129" s="8" t="s">
        <v>19</v>
      </c>
      <c r="F129" s="8" t="str">
        <f t="shared" si="9"/>
        <v>127-w01.jpg</v>
      </c>
      <c r="G129" s="8" t="str">
        <f t="shared" si="10"/>
        <v>images/127-w01.jpg</v>
      </c>
      <c r="H129" s="8" t="str">
        <f t="shared" si="11"/>
        <v>https://scholarbo.github.io/soseki-manuscripts/images/127-w01.jpg</v>
      </c>
      <c r="I129" s="8"/>
      <c r="J129" s="8" t="str">
        <f t="shared" si="12"/>
        <v>images/127-w01.jpg</v>
      </c>
      <c r="K129" s="8"/>
      <c r="L129" s="8"/>
      <c r="M129" s="7" t="str">
        <f t="shared" si="13"/>
        <v>127 第1頁</v>
      </c>
      <c r="N129" s="7" t="str">
        <f t="shared" si="14"/>
        <v>manifest-127-w01</v>
      </c>
      <c r="O129" s="7" t="str">
        <f t="shared" si="15"/>
        <v>canvas-127-w01</v>
      </c>
      <c r="P129" s="8" t="s">
        <v>20</v>
      </c>
      <c r="Q129" s="8"/>
    </row>
    <row r="130" spans="1:17" ht="32" customHeight="1" x14ac:dyDescent="0.2">
      <c r="A130" s="7" t="str">
        <f t="shared" ref="A130:A193" si="16">IF(OR(B130="",D130=""),"",B130&amp;IF(C130="","","-"&amp;C130)&amp;"-p"&amp;D130)</f>
        <v>128-w01-p1</v>
      </c>
      <c r="B130" s="8" t="s">
        <v>148</v>
      </c>
      <c r="C130" s="8" t="s">
        <v>18</v>
      </c>
      <c r="D130" s="8">
        <v>1</v>
      </c>
      <c r="E130" s="8" t="s">
        <v>19</v>
      </c>
      <c r="F130" s="8" t="str">
        <f t="shared" ref="F130:F193" si="17">IF(OR(B130="",C130=""),"",B130&amp;"-"&amp;C130&amp;".jpg")</f>
        <v>128-w01.jpg</v>
      </c>
      <c r="G130" s="8" t="str">
        <f t="shared" ref="G130:G193" si="18">IF(OR(B130="",C130=""),"","images/"&amp;B130&amp;"-"&amp;C130&amp;".jpg")</f>
        <v>images/128-w01.jpg</v>
      </c>
      <c r="H130" s="8" t="str">
        <f t="shared" ref="H130:H193" si="19">IF(OR(B130="",C130=""),"","https://scholarbo.github.io/soseki-manuscripts/images/"&amp;B130&amp;"-"&amp;C130&amp;".jpg")</f>
        <v>https://scholarbo.github.io/soseki-manuscripts/images/128-w01.jpg</v>
      </c>
      <c r="I130" s="8"/>
      <c r="J130" s="8" t="str">
        <f t="shared" ref="J130:J193" si="20">IF(OR(B130="",C130="",E130&lt;&gt;"iiif"),"","images/"&amp;B130&amp;"-"&amp;C130&amp;".jpg")</f>
        <v>images/128-w01.jpg</v>
      </c>
      <c r="K130" s="8"/>
      <c r="L130" s="8"/>
      <c r="M130" s="7" t="str">
        <f t="shared" ref="M130:M193" si="21">IF(OR(B130="",D130=""),"",B130&amp;IF(C130="","",IF(C130="w01",""," 第"&amp;VALUE(RIGHT(C130,2))&amp;"版"))&amp;" 第"&amp;D130&amp;"頁")</f>
        <v>128 第1頁</v>
      </c>
      <c r="N130" s="7" t="str">
        <f t="shared" ref="N130:N193" si="22">IF(OR(B130="",C130=""),"","manifest-"&amp;B130&amp;"-"&amp;C130)</f>
        <v>manifest-128-w01</v>
      </c>
      <c r="O130" s="7" t="str">
        <f t="shared" ref="O130:O193" si="23">IF(OR(B130="",C130="",D130=""),"","canvas-"&amp;B130&amp;"-"&amp;C130&amp;IF(D130=1,"","-p"&amp;D130))</f>
        <v>canvas-128-w01</v>
      </c>
      <c r="P130" s="8" t="s">
        <v>20</v>
      </c>
      <c r="Q130" s="8"/>
    </row>
    <row r="131" spans="1:17" ht="32" customHeight="1" x14ac:dyDescent="0.2">
      <c r="A131" s="7" t="str">
        <f t="shared" si="16"/>
        <v>129-w01-p1</v>
      </c>
      <c r="B131" s="8" t="s">
        <v>149</v>
      </c>
      <c r="C131" s="8" t="s">
        <v>18</v>
      </c>
      <c r="D131" s="8">
        <v>1</v>
      </c>
      <c r="E131" s="8" t="s">
        <v>19</v>
      </c>
      <c r="F131" s="8" t="str">
        <f t="shared" si="17"/>
        <v>129-w01.jpg</v>
      </c>
      <c r="G131" s="8" t="str">
        <f t="shared" si="18"/>
        <v>images/129-w01.jpg</v>
      </c>
      <c r="H131" s="8" t="str">
        <f t="shared" si="19"/>
        <v>https://scholarbo.github.io/soseki-manuscripts/images/129-w01.jpg</v>
      </c>
      <c r="I131" s="8"/>
      <c r="J131" s="8" t="str">
        <f t="shared" si="20"/>
        <v>images/129-w01.jpg</v>
      </c>
      <c r="K131" s="8"/>
      <c r="L131" s="8"/>
      <c r="M131" s="7" t="str">
        <f t="shared" si="21"/>
        <v>129 第1頁</v>
      </c>
      <c r="N131" s="7" t="str">
        <f t="shared" si="22"/>
        <v>manifest-129-w01</v>
      </c>
      <c r="O131" s="7" t="str">
        <f t="shared" si="23"/>
        <v>canvas-129-w01</v>
      </c>
      <c r="P131" s="8" t="s">
        <v>20</v>
      </c>
      <c r="Q131" s="8"/>
    </row>
    <row r="132" spans="1:17" ht="16" customHeight="1" x14ac:dyDescent="0.2">
      <c r="A132" s="7" t="str">
        <f t="shared" si="16"/>
        <v>130-w01-p1</v>
      </c>
      <c r="B132" s="8" t="s">
        <v>150</v>
      </c>
      <c r="C132" s="8" t="s">
        <v>18</v>
      </c>
      <c r="D132" s="8">
        <v>1</v>
      </c>
      <c r="E132" s="8" t="s">
        <v>19</v>
      </c>
      <c r="F132" s="8" t="str">
        <f t="shared" si="17"/>
        <v>130-w01.jpg</v>
      </c>
      <c r="G132" s="8" t="str">
        <f t="shared" si="18"/>
        <v>images/130-w01.jpg</v>
      </c>
      <c r="H132" s="8" t="str">
        <f t="shared" si="19"/>
        <v>https://scholarbo.github.io/soseki-manuscripts/images/130-w01.jpg</v>
      </c>
      <c r="I132" s="8"/>
      <c r="J132" s="8" t="str">
        <f t="shared" si="20"/>
        <v>images/130-w01.jpg</v>
      </c>
      <c r="K132" s="8"/>
      <c r="L132" s="8"/>
      <c r="M132" s="7" t="str">
        <f t="shared" si="21"/>
        <v>130 第1頁</v>
      </c>
      <c r="N132" s="7" t="str">
        <f t="shared" si="22"/>
        <v>manifest-130-w01</v>
      </c>
      <c r="O132" s="7" t="str">
        <f t="shared" si="23"/>
        <v>canvas-130-w01</v>
      </c>
      <c r="P132" s="8" t="s">
        <v>20</v>
      </c>
      <c r="Q132" s="8"/>
    </row>
    <row r="133" spans="1:17" ht="16" customHeight="1" x14ac:dyDescent="0.2">
      <c r="A133" s="7" t="str">
        <f t="shared" si="16"/>
        <v>131-w01-p1</v>
      </c>
      <c r="B133" s="8" t="s">
        <v>151</v>
      </c>
      <c r="C133" s="8" t="s">
        <v>18</v>
      </c>
      <c r="D133" s="8">
        <v>1</v>
      </c>
      <c r="E133" s="8" t="s">
        <v>19</v>
      </c>
      <c r="F133" s="8" t="str">
        <f t="shared" si="17"/>
        <v>131-w01.jpg</v>
      </c>
      <c r="G133" s="8" t="str">
        <f t="shared" si="18"/>
        <v>images/131-w01.jpg</v>
      </c>
      <c r="H133" s="8" t="str">
        <f t="shared" si="19"/>
        <v>https://scholarbo.github.io/soseki-manuscripts/images/131-w01.jpg</v>
      </c>
      <c r="I133" s="8"/>
      <c r="J133" s="8" t="str">
        <f t="shared" si="20"/>
        <v>images/131-w01.jpg</v>
      </c>
      <c r="K133" s="8"/>
      <c r="L133" s="8"/>
      <c r="M133" s="7" t="str">
        <f t="shared" si="21"/>
        <v>131 第1頁</v>
      </c>
      <c r="N133" s="7" t="str">
        <f t="shared" si="22"/>
        <v>manifest-131-w01</v>
      </c>
      <c r="O133" s="7" t="str">
        <f t="shared" si="23"/>
        <v>canvas-131-w01</v>
      </c>
      <c r="P133" s="8" t="s">
        <v>20</v>
      </c>
      <c r="Q133" s="8"/>
    </row>
    <row r="134" spans="1:17" ht="32" customHeight="1" x14ac:dyDescent="0.2">
      <c r="A134" s="7" t="str">
        <f t="shared" si="16"/>
        <v>132-w01-p1</v>
      </c>
      <c r="B134" s="8" t="s">
        <v>152</v>
      </c>
      <c r="C134" s="8" t="s">
        <v>18</v>
      </c>
      <c r="D134" s="8">
        <v>1</v>
      </c>
      <c r="E134" s="8" t="s">
        <v>19</v>
      </c>
      <c r="F134" s="8" t="str">
        <f t="shared" si="17"/>
        <v>132-w01.jpg</v>
      </c>
      <c r="G134" s="8" t="str">
        <f t="shared" si="18"/>
        <v>images/132-w01.jpg</v>
      </c>
      <c r="H134" s="8" t="str">
        <f t="shared" si="19"/>
        <v>https://scholarbo.github.io/soseki-manuscripts/images/132-w01.jpg</v>
      </c>
      <c r="I134" s="8"/>
      <c r="J134" s="8" t="str">
        <f t="shared" si="20"/>
        <v>images/132-w01.jpg</v>
      </c>
      <c r="K134" s="8"/>
      <c r="L134" s="8"/>
      <c r="M134" s="7" t="str">
        <f t="shared" si="21"/>
        <v>132 第1頁</v>
      </c>
      <c r="N134" s="7" t="str">
        <f t="shared" si="22"/>
        <v>manifest-132-w01</v>
      </c>
      <c r="O134" s="7" t="str">
        <f t="shared" si="23"/>
        <v>canvas-132-w01</v>
      </c>
      <c r="P134" s="8" t="s">
        <v>20</v>
      </c>
      <c r="Q134" s="8"/>
    </row>
    <row r="135" spans="1:17" ht="16" customHeight="1" x14ac:dyDescent="0.2">
      <c r="A135" s="7" t="str">
        <f t="shared" si="16"/>
        <v>133-w01-p1</v>
      </c>
      <c r="B135" s="8" t="s">
        <v>153</v>
      </c>
      <c r="C135" s="8" t="s">
        <v>18</v>
      </c>
      <c r="D135" s="8">
        <v>1</v>
      </c>
      <c r="E135" s="8" t="s">
        <v>19</v>
      </c>
      <c r="F135" s="8" t="str">
        <f t="shared" si="17"/>
        <v>133-w01.jpg</v>
      </c>
      <c r="G135" s="8" t="str">
        <f t="shared" si="18"/>
        <v>images/133-w01.jpg</v>
      </c>
      <c r="H135" s="8" t="str">
        <f t="shared" si="19"/>
        <v>https://scholarbo.github.io/soseki-manuscripts/images/133-w01.jpg</v>
      </c>
      <c r="I135" s="8"/>
      <c r="J135" s="8" t="str">
        <f t="shared" si="20"/>
        <v>images/133-w01.jpg</v>
      </c>
      <c r="K135" s="8"/>
      <c r="L135" s="8"/>
      <c r="M135" s="7" t="str">
        <f t="shared" si="21"/>
        <v>133 第1頁</v>
      </c>
      <c r="N135" s="7" t="str">
        <f t="shared" si="22"/>
        <v>manifest-133-w01</v>
      </c>
      <c r="O135" s="7" t="str">
        <f t="shared" si="23"/>
        <v>canvas-133-w01</v>
      </c>
      <c r="P135" s="8" t="s">
        <v>20</v>
      </c>
      <c r="Q135" s="8"/>
    </row>
    <row r="136" spans="1:17" ht="32" customHeight="1" x14ac:dyDescent="0.2">
      <c r="A136" s="7" t="str">
        <f t="shared" si="16"/>
        <v>134-w01-p1</v>
      </c>
      <c r="B136" s="8" t="s">
        <v>154</v>
      </c>
      <c r="C136" s="8" t="s">
        <v>18</v>
      </c>
      <c r="D136" s="8">
        <v>1</v>
      </c>
      <c r="E136" s="8" t="s">
        <v>19</v>
      </c>
      <c r="F136" s="8" t="str">
        <f t="shared" si="17"/>
        <v>134-w01.jpg</v>
      </c>
      <c r="G136" s="8" t="str">
        <f t="shared" si="18"/>
        <v>images/134-w01.jpg</v>
      </c>
      <c r="H136" s="8" t="str">
        <f t="shared" si="19"/>
        <v>https://scholarbo.github.io/soseki-manuscripts/images/134-w01.jpg</v>
      </c>
      <c r="I136" s="8"/>
      <c r="J136" s="8" t="str">
        <f t="shared" si="20"/>
        <v>images/134-w01.jpg</v>
      </c>
      <c r="K136" s="8"/>
      <c r="L136" s="8"/>
      <c r="M136" s="7" t="str">
        <f t="shared" si="21"/>
        <v>134 第1頁</v>
      </c>
      <c r="N136" s="7" t="str">
        <f t="shared" si="22"/>
        <v>manifest-134-w01</v>
      </c>
      <c r="O136" s="7" t="str">
        <f t="shared" si="23"/>
        <v>canvas-134-w01</v>
      </c>
      <c r="P136" s="8" t="s">
        <v>20</v>
      </c>
      <c r="Q136" s="8"/>
    </row>
    <row r="137" spans="1:17" ht="32" customHeight="1" x14ac:dyDescent="0.2">
      <c r="A137" s="7" t="str">
        <f t="shared" si="16"/>
        <v>135-w01-p1</v>
      </c>
      <c r="B137" s="8" t="s">
        <v>155</v>
      </c>
      <c r="C137" s="8" t="s">
        <v>18</v>
      </c>
      <c r="D137" s="8">
        <v>1</v>
      </c>
      <c r="E137" s="8" t="s">
        <v>19</v>
      </c>
      <c r="F137" s="8" t="str">
        <f t="shared" si="17"/>
        <v>135-w01.jpg</v>
      </c>
      <c r="G137" s="8" t="str">
        <f t="shared" si="18"/>
        <v>images/135-w01.jpg</v>
      </c>
      <c r="H137" s="8" t="str">
        <f t="shared" si="19"/>
        <v>https://scholarbo.github.io/soseki-manuscripts/images/135-w01.jpg</v>
      </c>
      <c r="I137" s="8"/>
      <c r="J137" s="8" t="str">
        <f t="shared" si="20"/>
        <v>images/135-w01.jpg</v>
      </c>
      <c r="K137" s="8"/>
      <c r="L137" s="8"/>
      <c r="M137" s="7" t="str">
        <f t="shared" si="21"/>
        <v>135 第1頁</v>
      </c>
      <c r="N137" s="7" t="str">
        <f t="shared" si="22"/>
        <v>manifest-135-w01</v>
      </c>
      <c r="O137" s="7" t="str">
        <f t="shared" si="23"/>
        <v>canvas-135-w01</v>
      </c>
      <c r="P137" s="8" t="s">
        <v>20</v>
      </c>
      <c r="Q137" s="8"/>
    </row>
    <row r="138" spans="1:17" ht="32" customHeight="1" x14ac:dyDescent="0.2">
      <c r="A138" s="7" t="str">
        <f t="shared" si="16"/>
        <v>136-w01-p1</v>
      </c>
      <c r="B138" s="8" t="s">
        <v>156</v>
      </c>
      <c r="C138" s="8" t="s">
        <v>18</v>
      </c>
      <c r="D138" s="8">
        <v>1</v>
      </c>
      <c r="E138" s="8" t="s">
        <v>19</v>
      </c>
      <c r="F138" s="8" t="str">
        <f t="shared" si="17"/>
        <v>136-w01.jpg</v>
      </c>
      <c r="G138" s="8" t="str">
        <f t="shared" si="18"/>
        <v>images/136-w01.jpg</v>
      </c>
      <c r="H138" s="8" t="str">
        <f t="shared" si="19"/>
        <v>https://scholarbo.github.io/soseki-manuscripts/images/136-w01.jpg</v>
      </c>
      <c r="I138" s="8"/>
      <c r="J138" s="8" t="str">
        <f t="shared" si="20"/>
        <v>images/136-w01.jpg</v>
      </c>
      <c r="K138" s="8"/>
      <c r="L138" s="8"/>
      <c r="M138" s="7" t="str">
        <f t="shared" si="21"/>
        <v>136 第1頁</v>
      </c>
      <c r="N138" s="7" t="str">
        <f t="shared" si="22"/>
        <v>manifest-136-w01</v>
      </c>
      <c r="O138" s="7" t="str">
        <f t="shared" si="23"/>
        <v>canvas-136-w01</v>
      </c>
      <c r="P138" s="8" t="s">
        <v>20</v>
      </c>
      <c r="Q138" s="8"/>
    </row>
    <row r="139" spans="1:17" ht="32" customHeight="1" x14ac:dyDescent="0.2">
      <c r="A139" s="7" t="str">
        <f t="shared" si="16"/>
        <v>137-w01-p1</v>
      </c>
      <c r="B139" s="8" t="s">
        <v>157</v>
      </c>
      <c r="C139" s="8" t="s">
        <v>18</v>
      </c>
      <c r="D139" s="8">
        <v>1</v>
      </c>
      <c r="E139" s="8" t="s">
        <v>19</v>
      </c>
      <c r="F139" s="8" t="str">
        <f t="shared" si="17"/>
        <v>137-w01.jpg</v>
      </c>
      <c r="G139" s="8" t="str">
        <f t="shared" si="18"/>
        <v>images/137-w01.jpg</v>
      </c>
      <c r="H139" s="8" t="str">
        <f t="shared" si="19"/>
        <v>https://scholarbo.github.io/soseki-manuscripts/images/137-w01.jpg</v>
      </c>
      <c r="I139" s="8"/>
      <c r="J139" s="8" t="str">
        <f t="shared" si="20"/>
        <v>images/137-w01.jpg</v>
      </c>
      <c r="K139" s="8"/>
      <c r="L139" s="8"/>
      <c r="M139" s="7" t="str">
        <f t="shared" si="21"/>
        <v>137 第1頁</v>
      </c>
      <c r="N139" s="7" t="str">
        <f t="shared" si="22"/>
        <v>manifest-137-w01</v>
      </c>
      <c r="O139" s="7" t="str">
        <f t="shared" si="23"/>
        <v>canvas-137-w01</v>
      </c>
      <c r="P139" s="8" t="s">
        <v>20</v>
      </c>
      <c r="Q139" s="8"/>
    </row>
    <row r="140" spans="1:17" ht="32" customHeight="1" x14ac:dyDescent="0.2">
      <c r="A140" s="7" t="str">
        <f t="shared" si="16"/>
        <v>138-w01-p1</v>
      </c>
      <c r="B140" s="8" t="s">
        <v>158</v>
      </c>
      <c r="C140" s="8" t="s">
        <v>18</v>
      </c>
      <c r="D140" s="8">
        <v>1</v>
      </c>
      <c r="E140" s="8" t="s">
        <v>19</v>
      </c>
      <c r="F140" s="8" t="str">
        <f t="shared" si="17"/>
        <v>138-w01.jpg</v>
      </c>
      <c r="G140" s="8" t="str">
        <f t="shared" si="18"/>
        <v>images/138-w01.jpg</v>
      </c>
      <c r="H140" s="8" t="str">
        <f t="shared" si="19"/>
        <v>https://scholarbo.github.io/soseki-manuscripts/images/138-w01.jpg</v>
      </c>
      <c r="I140" s="8"/>
      <c r="J140" s="8" t="str">
        <f t="shared" si="20"/>
        <v>images/138-w01.jpg</v>
      </c>
      <c r="K140" s="8"/>
      <c r="L140" s="8"/>
      <c r="M140" s="7" t="str">
        <f t="shared" si="21"/>
        <v>138 第1頁</v>
      </c>
      <c r="N140" s="7" t="str">
        <f t="shared" si="22"/>
        <v>manifest-138-w01</v>
      </c>
      <c r="O140" s="7" t="str">
        <f t="shared" si="23"/>
        <v>canvas-138-w01</v>
      </c>
      <c r="P140" s="8" t="s">
        <v>20</v>
      </c>
      <c r="Q140" s="8"/>
    </row>
    <row r="141" spans="1:17" ht="32" customHeight="1" x14ac:dyDescent="0.2">
      <c r="A141" s="7" t="str">
        <f t="shared" si="16"/>
        <v>139-w01-p1</v>
      </c>
      <c r="B141" s="8" t="s">
        <v>159</v>
      </c>
      <c r="C141" s="8" t="s">
        <v>18</v>
      </c>
      <c r="D141" s="8">
        <v>1</v>
      </c>
      <c r="E141" s="8" t="s">
        <v>19</v>
      </c>
      <c r="F141" s="8" t="str">
        <f t="shared" si="17"/>
        <v>139-w01.jpg</v>
      </c>
      <c r="G141" s="8" t="str">
        <f t="shared" si="18"/>
        <v>images/139-w01.jpg</v>
      </c>
      <c r="H141" s="8" t="str">
        <f t="shared" si="19"/>
        <v>https://scholarbo.github.io/soseki-manuscripts/images/139-w01.jpg</v>
      </c>
      <c r="I141" s="8"/>
      <c r="J141" s="8" t="str">
        <f t="shared" si="20"/>
        <v>images/139-w01.jpg</v>
      </c>
      <c r="K141" s="8"/>
      <c r="L141" s="8"/>
      <c r="M141" s="7" t="str">
        <f t="shared" si="21"/>
        <v>139 第1頁</v>
      </c>
      <c r="N141" s="7" t="str">
        <f t="shared" si="22"/>
        <v>manifest-139-w01</v>
      </c>
      <c r="O141" s="7" t="str">
        <f t="shared" si="23"/>
        <v>canvas-139-w01</v>
      </c>
      <c r="P141" s="8" t="s">
        <v>20</v>
      </c>
      <c r="Q141" s="8"/>
    </row>
    <row r="142" spans="1:17" ht="32" customHeight="1" x14ac:dyDescent="0.2">
      <c r="A142" s="7" t="str">
        <f t="shared" si="16"/>
        <v>140-w01-p1</v>
      </c>
      <c r="B142" s="8" t="s">
        <v>160</v>
      </c>
      <c r="C142" s="8" t="s">
        <v>18</v>
      </c>
      <c r="D142" s="8">
        <v>1</v>
      </c>
      <c r="E142" s="8" t="s">
        <v>19</v>
      </c>
      <c r="F142" s="8" t="str">
        <f t="shared" si="17"/>
        <v>140-w01.jpg</v>
      </c>
      <c r="G142" s="8" t="str">
        <f t="shared" si="18"/>
        <v>images/140-w01.jpg</v>
      </c>
      <c r="H142" s="8" t="str">
        <f t="shared" si="19"/>
        <v>https://scholarbo.github.io/soseki-manuscripts/images/140-w01.jpg</v>
      </c>
      <c r="I142" s="8"/>
      <c r="J142" s="8" t="str">
        <f t="shared" si="20"/>
        <v>images/140-w01.jpg</v>
      </c>
      <c r="K142" s="8"/>
      <c r="L142" s="8"/>
      <c r="M142" s="7" t="str">
        <f t="shared" si="21"/>
        <v>140 第1頁</v>
      </c>
      <c r="N142" s="7" t="str">
        <f t="shared" si="22"/>
        <v>manifest-140-w01</v>
      </c>
      <c r="O142" s="7" t="str">
        <f t="shared" si="23"/>
        <v>canvas-140-w01</v>
      </c>
      <c r="P142" s="8" t="s">
        <v>20</v>
      </c>
      <c r="Q142" s="8"/>
    </row>
    <row r="143" spans="1:17" ht="32" customHeight="1" x14ac:dyDescent="0.2">
      <c r="A143" s="7" t="str">
        <f t="shared" si="16"/>
        <v>141-w01-p1</v>
      </c>
      <c r="B143" s="8" t="s">
        <v>161</v>
      </c>
      <c r="C143" s="8" t="s">
        <v>18</v>
      </c>
      <c r="D143" s="8">
        <v>1</v>
      </c>
      <c r="E143" s="8" t="s">
        <v>19</v>
      </c>
      <c r="F143" s="8" t="str">
        <f t="shared" si="17"/>
        <v>141-w01.jpg</v>
      </c>
      <c r="G143" s="8" t="str">
        <f t="shared" si="18"/>
        <v>images/141-w01.jpg</v>
      </c>
      <c r="H143" s="8" t="str">
        <f t="shared" si="19"/>
        <v>https://scholarbo.github.io/soseki-manuscripts/images/141-w01.jpg</v>
      </c>
      <c r="I143" s="8"/>
      <c r="J143" s="8" t="str">
        <f t="shared" si="20"/>
        <v>images/141-w01.jpg</v>
      </c>
      <c r="K143" s="8"/>
      <c r="L143" s="8"/>
      <c r="M143" s="7" t="str">
        <f t="shared" si="21"/>
        <v>141 第1頁</v>
      </c>
      <c r="N143" s="7" t="str">
        <f t="shared" si="22"/>
        <v>manifest-141-w01</v>
      </c>
      <c r="O143" s="7" t="str">
        <f t="shared" si="23"/>
        <v>canvas-141-w01</v>
      </c>
      <c r="P143" s="8" t="s">
        <v>20</v>
      </c>
      <c r="Q143" s="8"/>
    </row>
    <row r="144" spans="1:17" ht="32" customHeight="1" x14ac:dyDescent="0.2">
      <c r="A144" s="7" t="str">
        <f t="shared" si="16"/>
        <v>142-w01-p1</v>
      </c>
      <c r="B144" s="8" t="s">
        <v>162</v>
      </c>
      <c r="C144" s="8" t="s">
        <v>18</v>
      </c>
      <c r="D144" s="8">
        <v>1</v>
      </c>
      <c r="E144" s="8" t="s">
        <v>19</v>
      </c>
      <c r="F144" s="8" t="str">
        <f t="shared" si="17"/>
        <v>142-w01.jpg</v>
      </c>
      <c r="G144" s="8" t="str">
        <f t="shared" si="18"/>
        <v>images/142-w01.jpg</v>
      </c>
      <c r="H144" s="8" t="str">
        <f t="shared" si="19"/>
        <v>https://scholarbo.github.io/soseki-manuscripts/images/142-w01.jpg</v>
      </c>
      <c r="I144" s="8"/>
      <c r="J144" s="8" t="str">
        <f t="shared" si="20"/>
        <v>images/142-w01.jpg</v>
      </c>
      <c r="K144" s="8"/>
      <c r="L144" s="8"/>
      <c r="M144" s="7" t="str">
        <f t="shared" si="21"/>
        <v>142 第1頁</v>
      </c>
      <c r="N144" s="7" t="str">
        <f t="shared" si="22"/>
        <v>manifest-142-w01</v>
      </c>
      <c r="O144" s="7" t="str">
        <f t="shared" si="23"/>
        <v>canvas-142-w01</v>
      </c>
      <c r="P144" s="8" t="s">
        <v>20</v>
      </c>
      <c r="Q144" s="8"/>
    </row>
    <row r="145" spans="1:17" ht="32" customHeight="1" x14ac:dyDescent="0.2">
      <c r="A145" s="7" t="str">
        <f t="shared" si="16"/>
        <v>143-w01-p1</v>
      </c>
      <c r="B145" s="8" t="s">
        <v>163</v>
      </c>
      <c r="C145" s="8" t="s">
        <v>18</v>
      </c>
      <c r="D145" s="8">
        <v>1</v>
      </c>
      <c r="E145" s="8" t="s">
        <v>19</v>
      </c>
      <c r="F145" s="8" t="str">
        <f t="shared" si="17"/>
        <v>143-w01.jpg</v>
      </c>
      <c r="G145" s="8" t="str">
        <f t="shared" si="18"/>
        <v>images/143-w01.jpg</v>
      </c>
      <c r="H145" s="8" t="str">
        <f t="shared" si="19"/>
        <v>https://scholarbo.github.io/soseki-manuscripts/images/143-w01.jpg</v>
      </c>
      <c r="I145" s="8"/>
      <c r="J145" s="8" t="str">
        <f t="shared" si="20"/>
        <v>images/143-w01.jpg</v>
      </c>
      <c r="K145" s="8"/>
      <c r="L145" s="8"/>
      <c r="M145" s="7" t="str">
        <f t="shared" si="21"/>
        <v>143 第1頁</v>
      </c>
      <c r="N145" s="7" t="str">
        <f t="shared" si="22"/>
        <v>manifest-143-w01</v>
      </c>
      <c r="O145" s="7" t="str">
        <f t="shared" si="23"/>
        <v>canvas-143-w01</v>
      </c>
      <c r="P145" s="8" t="s">
        <v>20</v>
      </c>
      <c r="Q145" s="8"/>
    </row>
    <row r="146" spans="1:17" ht="32" customHeight="1" x14ac:dyDescent="0.2">
      <c r="A146" s="7" t="str">
        <f t="shared" si="16"/>
        <v>144-w01-p1</v>
      </c>
      <c r="B146" s="8" t="s">
        <v>164</v>
      </c>
      <c r="C146" s="8" t="s">
        <v>18</v>
      </c>
      <c r="D146" s="8">
        <v>1</v>
      </c>
      <c r="E146" s="8" t="s">
        <v>19</v>
      </c>
      <c r="F146" s="8" t="str">
        <f t="shared" si="17"/>
        <v>144-w01.jpg</v>
      </c>
      <c r="G146" s="8" t="str">
        <f t="shared" si="18"/>
        <v>images/144-w01.jpg</v>
      </c>
      <c r="H146" s="8" t="str">
        <f t="shared" si="19"/>
        <v>https://scholarbo.github.io/soseki-manuscripts/images/144-w01.jpg</v>
      </c>
      <c r="I146" s="8"/>
      <c r="J146" s="8" t="str">
        <f t="shared" si="20"/>
        <v>images/144-w01.jpg</v>
      </c>
      <c r="K146" s="8"/>
      <c r="L146" s="8"/>
      <c r="M146" s="7" t="str">
        <f t="shared" si="21"/>
        <v>144 第1頁</v>
      </c>
      <c r="N146" s="7" t="str">
        <f t="shared" si="22"/>
        <v>manifest-144-w01</v>
      </c>
      <c r="O146" s="7" t="str">
        <f t="shared" si="23"/>
        <v>canvas-144-w01</v>
      </c>
      <c r="P146" s="8" t="s">
        <v>20</v>
      </c>
      <c r="Q146" s="8"/>
    </row>
    <row r="147" spans="1:17" ht="32" customHeight="1" x14ac:dyDescent="0.2">
      <c r="A147" s="7" t="str">
        <f t="shared" si="16"/>
        <v>145-w01-p1</v>
      </c>
      <c r="B147" s="8" t="s">
        <v>165</v>
      </c>
      <c r="C147" s="8" t="s">
        <v>18</v>
      </c>
      <c r="D147" s="8">
        <v>1</v>
      </c>
      <c r="E147" s="8" t="s">
        <v>19</v>
      </c>
      <c r="F147" s="8" t="str">
        <f t="shared" si="17"/>
        <v>145-w01.jpg</v>
      </c>
      <c r="G147" s="8" t="str">
        <f t="shared" si="18"/>
        <v>images/145-w01.jpg</v>
      </c>
      <c r="H147" s="8" t="str">
        <f t="shared" si="19"/>
        <v>https://scholarbo.github.io/soseki-manuscripts/images/145-w01.jpg</v>
      </c>
      <c r="I147" s="8"/>
      <c r="J147" s="8" t="str">
        <f t="shared" si="20"/>
        <v>images/145-w01.jpg</v>
      </c>
      <c r="K147" s="8"/>
      <c r="L147" s="8"/>
      <c r="M147" s="7" t="str">
        <f t="shared" si="21"/>
        <v>145 第1頁</v>
      </c>
      <c r="N147" s="7" t="str">
        <f t="shared" si="22"/>
        <v>manifest-145-w01</v>
      </c>
      <c r="O147" s="7" t="str">
        <f t="shared" si="23"/>
        <v>canvas-145-w01</v>
      </c>
      <c r="P147" s="8" t="s">
        <v>20</v>
      </c>
      <c r="Q147" s="8"/>
    </row>
    <row r="148" spans="1:17" ht="32" customHeight="1" x14ac:dyDescent="0.2">
      <c r="A148" s="7" t="str">
        <f t="shared" si="16"/>
        <v>146-w01-p1</v>
      </c>
      <c r="B148" s="8" t="s">
        <v>166</v>
      </c>
      <c r="C148" s="8" t="s">
        <v>18</v>
      </c>
      <c r="D148" s="8">
        <v>1</v>
      </c>
      <c r="E148" s="8" t="s">
        <v>19</v>
      </c>
      <c r="F148" s="8" t="str">
        <f t="shared" si="17"/>
        <v>146-w01.jpg</v>
      </c>
      <c r="G148" s="8" t="str">
        <f t="shared" si="18"/>
        <v>images/146-w01.jpg</v>
      </c>
      <c r="H148" s="8" t="str">
        <f t="shared" si="19"/>
        <v>https://scholarbo.github.io/soseki-manuscripts/images/146-w01.jpg</v>
      </c>
      <c r="I148" s="8"/>
      <c r="J148" s="8" t="str">
        <f t="shared" si="20"/>
        <v>images/146-w01.jpg</v>
      </c>
      <c r="K148" s="8"/>
      <c r="L148" s="8"/>
      <c r="M148" s="7" t="str">
        <f t="shared" si="21"/>
        <v>146 第1頁</v>
      </c>
      <c r="N148" s="7" t="str">
        <f t="shared" si="22"/>
        <v>manifest-146-w01</v>
      </c>
      <c r="O148" s="7" t="str">
        <f t="shared" si="23"/>
        <v>canvas-146-w01</v>
      </c>
      <c r="P148" s="8" t="s">
        <v>20</v>
      </c>
      <c r="Q148" s="8"/>
    </row>
    <row r="149" spans="1:17" ht="32" customHeight="1" x14ac:dyDescent="0.2">
      <c r="A149" s="7" t="str">
        <f t="shared" si="16"/>
        <v>147-w01-p1</v>
      </c>
      <c r="B149" s="8" t="s">
        <v>167</v>
      </c>
      <c r="C149" s="8" t="s">
        <v>18</v>
      </c>
      <c r="D149" s="8">
        <v>1</v>
      </c>
      <c r="E149" s="8" t="s">
        <v>19</v>
      </c>
      <c r="F149" s="8" t="str">
        <f t="shared" si="17"/>
        <v>147-w01.jpg</v>
      </c>
      <c r="G149" s="8" t="str">
        <f t="shared" si="18"/>
        <v>images/147-w01.jpg</v>
      </c>
      <c r="H149" s="8" t="str">
        <f t="shared" si="19"/>
        <v>https://scholarbo.github.io/soseki-manuscripts/images/147-w01.jpg</v>
      </c>
      <c r="I149" s="8"/>
      <c r="J149" s="8" t="str">
        <f t="shared" si="20"/>
        <v>images/147-w01.jpg</v>
      </c>
      <c r="K149" s="8"/>
      <c r="L149" s="8"/>
      <c r="M149" s="7" t="str">
        <f t="shared" si="21"/>
        <v>147 第1頁</v>
      </c>
      <c r="N149" s="7" t="str">
        <f t="shared" si="22"/>
        <v>manifest-147-w01</v>
      </c>
      <c r="O149" s="7" t="str">
        <f t="shared" si="23"/>
        <v>canvas-147-w01</v>
      </c>
      <c r="P149" s="8" t="s">
        <v>20</v>
      </c>
      <c r="Q149" s="8"/>
    </row>
    <row r="150" spans="1:17" ht="32" customHeight="1" x14ac:dyDescent="0.2">
      <c r="A150" s="7" t="str">
        <f t="shared" si="16"/>
        <v>148-w01-p1</v>
      </c>
      <c r="B150" s="8" t="s">
        <v>168</v>
      </c>
      <c r="C150" s="8" t="s">
        <v>18</v>
      </c>
      <c r="D150" s="8">
        <v>1</v>
      </c>
      <c r="E150" s="8" t="s">
        <v>19</v>
      </c>
      <c r="F150" s="8" t="str">
        <f t="shared" si="17"/>
        <v>148-w01.jpg</v>
      </c>
      <c r="G150" s="8" t="str">
        <f t="shared" si="18"/>
        <v>images/148-w01.jpg</v>
      </c>
      <c r="H150" s="8" t="str">
        <f t="shared" si="19"/>
        <v>https://scholarbo.github.io/soseki-manuscripts/images/148-w01.jpg</v>
      </c>
      <c r="I150" s="8"/>
      <c r="J150" s="8" t="str">
        <f t="shared" si="20"/>
        <v>images/148-w01.jpg</v>
      </c>
      <c r="K150" s="8"/>
      <c r="L150" s="8"/>
      <c r="M150" s="7" t="str">
        <f t="shared" si="21"/>
        <v>148 第1頁</v>
      </c>
      <c r="N150" s="7" t="str">
        <f t="shared" si="22"/>
        <v>manifest-148-w01</v>
      </c>
      <c r="O150" s="7" t="str">
        <f t="shared" si="23"/>
        <v>canvas-148-w01</v>
      </c>
      <c r="P150" s="8" t="s">
        <v>20</v>
      </c>
      <c r="Q150" s="8"/>
    </row>
    <row r="151" spans="1:17" ht="32" customHeight="1" x14ac:dyDescent="0.2">
      <c r="A151" s="7" t="str">
        <f t="shared" si="16"/>
        <v>149-w01-p1</v>
      </c>
      <c r="B151" s="8" t="s">
        <v>169</v>
      </c>
      <c r="C151" s="8" t="s">
        <v>18</v>
      </c>
      <c r="D151" s="8">
        <v>1</v>
      </c>
      <c r="E151" s="8" t="s">
        <v>19</v>
      </c>
      <c r="F151" s="8" t="str">
        <f t="shared" si="17"/>
        <v>149-w01.jpg</v>
      </c>
      <c r="G151" s="8" t="str">
        <f t="shared" si="18"/>
        <v>images/149-w01.jpg</v>
      </c>
      <c r="H151" s="8" t="str">
        <f t="shared" si="19"/>
        <v>https://scholarbo.github.io/soseki-manuscripts/images/149-w01.jpg</v>
      </c>
      <c r="I151" s="8"/>
      <c r="J151" s="8" t="str">
        <f t="shared" si="20"/>
        <v>images/149-w01.jpg</v>
      </c>
      <c r="K151" s="8"/>
      <c r="L151" s="8"/>
      <c r="M151" s="7" t="str">
        <f t="shared" si="21"/>
        <v>149 第1頁</v>
      </c>
      <c r="N151" s="7" t="str">
        <f t="shared" si="22"/>
        <v>manifest-149-w01</v>
      </c>
      <c r="O151" s="7" t="str">
        <f t="shared" si="23"/>
        <v>canvas-149-w01</v>
      </c>
      <c r="P151" s="8" t="s">
        <v>20</v>
      </c>
      <c r="Q151" s="8"/>
    </row>
    <row r="152" spans="1:17" ht="32" customHeight="1" x14ac:dyDescent="0.2">
      <c r="A152" s="7" t="str">
        <f t="shared" si="16"/>
        <v>150-w01-p1</v>
      </c>
      <c r="B152" s="8" t="s">
        <v>170</v>
      </c>
      <c r="C152" s="8" t="s">
        <v>18</v>
      </c>
      <c r="D152" s="8">
        <v>1</v>
      </c>
      <c r="E152" s="8" t="s">
        <v>19</v>
      </c>
      <c r="F152" s="8" t="str">
        <f t="shared" si="17"/>
        <v>150-w01.jpg</v>
      </c>
      <c r="G152" s="8" t="str">
        <f t="shared" si="18"/>
        <v>images/150-w01.jpg</v>
      </c>
      <c r="H152" s="8" t="str">
        <f t="shared" si="19"/>
        <v>https://scholarbo.github.io/soseki-manuscripts/images/150-w01.jpg</v>
      </c>
      <c r="I152" s="8"/>
      <c r="J152" s="8" t="str">
        <f t="shared" si="20"/>
        <v>images/150-w01.jpg</v>
      </c>
      <c r="K152" s="8"/>
      <c r="L152" s="8"/>
      <c r="M152" s="7" t="str">
        <f t="shared" si="21"/>
        <v>150 第1頁</v>
      </c>
      <c r="N152" s="7" t="str">
        <f t="shared" si="22"/>
        <v>manifest-150-w01</v>
      </c>
      <c r="O152" s="7" t="str">
        <f t="shared" si="23"/>
        <v>canvas-150-w01</v>
      </c>
      <c r="P152" s="8" t="s">
        <v>20</v>
      </c>
      <c r="Q152" s="8"/>
    </row>
    <row r="153" spans="1:17" ht="32" customHeight="1" x14ac:dyDescent="0.2">
      <c r="A153" s="7" t="str">
        <f t="shared" si="16"/>
        <v>151-w01-p1</v>
      </c>
      <c r="B153" s="8" t="s">
        <v>171</v>
      </c>
      <c r="C153" s="8" t="s">
        <v>18</v>
      </c>
      <c r="D153" s="8">
        <v>1</v>
      </c>
      <c r="E153" s="8" t="s">
        <v>19</v>
      </c>
      <c r="F153" s="8" t="str">
        <f t="shared" si="17"/>
        <v>151-w01.jpg</v>
      </c>
      <c r="G153" s="8" t="str">
        <f t="shared" si="18"/>
        <v>images/151-w01.jpg</v>
      </c>
      <c r="H153" s="8" t="str">
        <f t="shared" si="19"/>
        <v>https://scholarbo.github.io/soseki-manuscripts/images/151-w01.jpg</v>
      </c>
      <c r="I153" s="8"/>
      <c r="J153" s="8" t="str">
        <f t="shared" si="20"/>
        <v>images/151-w01.jpg</v>
      </c>
      <c r="K153" s="8"/>
      <c r="L153" s="8"/>
      <c r="M153" s="7" t="str">
        <f t="shared" si="21"/>
        <v>151 第1頁</v>
      </c>
      <c r="N153" s="7" t="str">
        <f t="shared" si="22"/>
        <v>manifest-151-w01</v>
      </c>
      <c r="O153" s="7" t="str">
        <f t="shared" si="23"/>
        <v>canvas-151-w01</v>
      </c>
      <c r="P153" s="8" t="s">
        <v>20</v>
      </c>
      <c r="Q153" s="8"/>
    </row>
    <row r="154" spans="1:17" ht="32" customHeight="1" x14ac:dyDescent="0.2">
      <c r="A154" s="7" t="str">
        <f t="shared" si="16"/>
        <v>152-w01-p1</v>
      </c>
      <c r="B154" s="8" t="s">
        <v>172</v>
      </c>
      <c r="C154" s="8" t="s">
        <v>18</v>
      </c>
      <c r="D154" s="8">
        <v>1</v>
      </c>
      <c r="E154" s="8" t="s">
        <v>19</v>
      </c>
      <c r="F154" s="8" t="str">
        <f t="shared" si="17"/>
        <v>152-w01.jpg</v>
      </c>
      <c r="G154" s="8" t="str">
        <f t="shared" si="18"/>
        <v>images/152-w01.jpg</v>
      </c>
      <c r="H154" s="8" t="str">
        <f t="shared" si="19"/>
        <v>https://scholarbo.github.io/soseki-manuscripts/images/152-w01.jpg</v>
      </c>
      <c r="I154" s="8"/>
      <c r="J154" s="8" t="str">
        <f t="shared" si="20"/>
        <v>images/152-w01.jpg</v>
      </c>
      <c r="K154" s="8"/>
      <c r="L154" s="8"/>
      <c r="M154" s="7" t="str">
        <f t="shared" si="21"/>
        <v>152 第1頁</v>
      </c>
      <c r="N154" s="7" t="str">
        <f t="shared" si="22"/>
        <v>manifest-152-w01</v>
      </c>
      <c r="O154" s="7" t="str">
        <f t="shared" si="23"/>
        <v>canvas-152-w01</v>
      </c>
      <c r="P154" s="8" t="s">
        <v>20</v>
      </c>
      <c r="Q154" s="8"/>
    </row>
    <row r="155" spans="1:17" ht="32" customHeight="1" x14ac:dyDescent="0.2">
      <c r="A155" s="7" t="str">
        <f t="shared" si="16"/>
        <v>153-w01-p1</v>
      </c>
      <c r="B155" s="8" t="s">
        <v>173</v>
      </c>
      <c r="C155" s="8" t="s">
        <v>18</v>
      </c>
      <c r="D155" s="8">
        <v>1</v>
      </c>
      <c r="E155" s="8" t="s">
        <v>19</v>
      </c>
      <c r="F155" s="8" t="str">
        <f t="shared" si="17"/>
        <v>153-w01.jpg</v>
      </c>
      <c r="G155" s="8" t="str">
        <f t="shared" si="18"/>
        <v>images/153-w01.jpg</v>
      </c>
      <c r="H155" s="8" t="str">
        <f t="shared" si="19"/>
        <v>https://scholarbo.github.io/soseki-manuscripts/images/153-w01.jpg</v>
      </c>
      <c r="I155" s="8"/>
      <c r="J155" s="8" t="str">
        <f t="shared" si="20"/>
        <v>images/153-w01.jpg</v>
      </c>
      <c r="K155" s="8"/>
      <c r="L155" s="8"/>
      <c r="M155" s="7" t="str">
        <f t="shared" si="21"/>
        <v>153 第1頁</v>
      </c>
      <c r="N155" s="7" t="str">
        <f t="shared" si="22"/>
        <v>manifest-153-w01</v>
      </c>
      <c r="O155" s="7" t="str">
        <f t="shared" si="23"/>
        <v>canvas-153-w01</v>
      </c>
      <c r="P155" s="8" t="s">
        <v>20</v>
      </c>
      <c r="Q155" s="8"/>
    </row>
    <row r="156" spans="1:17" ht="32" customHeight="1" x14ac:dyDescent="0.2">
      <c r="A156" s="7" t="str">
        <f t="shared" si="16"/>
        <v>154-w01-p1</v>
      </c>
      <c r="B156" s="8" t="s">
        <v>174</v>
      </c>
      <c r="C156" s="8" t="s">
        <v>18</v>
      </c>
      <c r="D156" s="8">
        <v>1</v>
      </c>
      <c r="E156" s="8" t="s">
        <v>19</v>
      </c>
      <c r="F156" s="8" t="str">
        <f t="shared" si="17"/>
        <v>154-w01.jpg</v>
      </c>
      <c r="G156" s="8" t="str">
        <f t="shared" si="18"/>
        <v>images/154-w01.jpg</v>
      </c>
      <c r="H156" s="8" t="str">
        <f t="shared" si="19"/>
        <v>https://scholarbo.github.io/soseki-manuscripts/images/154-w01.jpg</v>
      </c>
      <c r="I156" s="8"/>
      <c r="J156" s="8" t="str">
        <f t="shared" si="20"/>
        <v>images/154-w01.jpg</v>
      </c>
      <c r="K156" s="8"/>
      <c r="L156" s="8"/>
      <c r="M156" s="7" t="str">
        <f t="shared" si="21"/>
        <v>154 第1頁</v>
      </c>
      <c r="N156" s="7" t="str">
        <f t="shared" si="22"/>
        <v>manifest-154-w01</v>
      </c>
      <c r="O156" s="7" t="str">
        <f t="shared" si="23"/>
        <v>canvas-154-w01</v>
      </c>
      <c r="P156" s="8" t="s">
        <v>20</v>
      </c>
      <c r="Q156" s="8"/>
    </row>
    <row r="157" spans="1:17" ht="32" customHeight="1" x14ac:dyDescent="0.2">
      <c r="A157" s="7" t="str">
        <f t="shared" si="16"/>
        <v>155-w01-p1</v>
      </c>
      <c r="B157" s="8" t="s">
        <v>175</v>
      </c>
      <c r="C157" s="8" t="s">
        <v>18</v>
      </c>
      <c r="D157" s="8">
        <v>1</v>
      </c>
      <c r="E157" s="8" t="s">
        <v>19</v>
      </c>
      <c r="F157" s="8" t="str">
        <f t="shared" si="17"/>
        <v>155-w01.jpg</v>
      </c>
      <c r="G157" s="8" t="str">
        <f t="shared" si="18"/>
        <v>images/155-w01.jpg</v>
      </c>
      <c r="H157" s="8" t="str">
        <f t="shared" si="19"/>
        <v>https://scholarbo.github.io/soseki-manuscripts/images/155-w01.jpg</v>
      </c>
      <c r="I157" s="8"/>
      <c r="J157" s="8" t="str">
        <f t="shared" si="20"/>
        <v>images/155-w01.jpg</v>
      </c>
      <c r="K157" s="8"/>
      <c r="L157" s="8"/>
      <c r="M157" s="7" t="str">
        <f t="shared" si="21"/>
        <v>155 第1頁</v>
      </c>
      <c r="N157" s="7" t="str">
        <f t="shared" si="22"/>
        <v>manifest-155-w01</v>
      </c>
      <c r="O157" s="7" t="str">
        <f t="shared" si="23"/>
        <v>canvas-155-w01</v>
      </c>
      <c r="P157" s="8" t="s">
        <v>20</v>
      </c>
      <c r="Q157" s="8"/>
    </row>
    <row r="158" spans="1:17" ht="32" customHeight="1" x14ac:dyDescent="0.2">
      <c r="A158" s="7" t="str">
        <f t="shared" si="16"/>
        <v>156-w01-p1</v>
      </c>
      <c r="B158" s="8" t="s">
        <v>176</v>
      </c>
      <c r="C158" s="8" t="s">
        <v>18</v>
      </c>
      <c r="D158" s="8">
        <v>1</v>
      </c>
      <c r="E158" s="8" t="s">
        <v>19</v>
      </c>
      <c r="F158" s="8" t="str">
        <f t="shared" si="17"/>
        <v>156-w01.jpg</v>
      </c>
      <c r="G158" s="8" t="str">
        <f t="shared" si="18"/>
        <v>images/156-w01.jpg</v>
      </c>
      <c r="H158" s="8" t="str">
        <f t="shared" si="19"/>
        <v>https://scholarbo.github.io/soseki-manuscripts/images/156-w01.jpg</v>
      </c>
      <c r="I158" s="8"/>
      <c r="J158" s="8" t="str">
        <f t="shared" si="20"/>
        <v>images/156-w01.jpg</v>
      </c>
      <c r="K158" s="8"/>
      <c r="L158" s="8"/>
      <c r="M158" s="7" t="str">
        <f t="shared" si="21"/>
        <v>156 第1頁</v>
      </c>
      <c r="N158" s="7" t="str">
        <f t="shared" si="22"/>
        <v>manifest-156-w01</v>
      </c>
      <c r="O158" s="7" t="str">
        <f t="shared" si="23"/>
        <v>canvas-156-w01</v>
      </c>
      <c r="P158" s="8" t="s">
        <v>20</v>
      </c>
      <c r="Q158" s="8"/>
    </row>
    <row r="159" spans="1:17" ht="32" customHeight="1" x14ac:dyDescent="0.2">
      <c r="A159" s="7" t="str">
        <f t="shared" si="16"/>
        <v>157-w01-p1</v>
      </c>
      <c r="B159" s="8" t="s">
        <v>177</v>
      </c>
      <c r="C159" s="8" t="s">
        <v>18</v>
      </c>
      <c r="D159" s="8">
        <v>1</v>
      </c>
      <c r="E159" s="8" t="s">
        <v>19</v>
      </c>
      <c r="F159" s="8" t="str">
        <f t="shared" si="17"/>
        <v>157-w01.jpg</v>
      </c>
      <c r="G159" s="8" t="str">
        <f t="shared" si="18"/>
        <v>images/157-w01.jpg</v>
      </c>
      <c r="H159" s="8" t="str">
        <f t="shared" si="19"/>
        <v>https://scholarbo.github.io/soseki-manuscripts/images/157-w01.jpg</v>
      </c>
      <c r="I159" s="8"/>
      <c r="J159" s="8" t="str">
        <f t="shared" si="20"/>
        <v>images/157-w01.jpg</v>
      </c>
      <c r="K159" s="8"/>
      <c r="L159" s="8"/>
      <c r="M159" s="7" t="str">
        <f t="shared" si="21"/>
        <v>157 第1頁</v>
      </c>
      <c r="N159" s="7" t="str">
        <f t="shared" si="22"/>
        <v>manifest-157-w01</v>
      </c>
      <c r="O159" s="7" t="str">
        <f t="shared" si="23"/>
        <v>canvas-157-w01</v>
      </c>
      <c r="P159" s="8" t="s">
        <v>20</v>
      </c>
      <c r="Q159" s="8"/>
    </row>
    <row r="160" spans="1:17" ht="32" customHeight="1" x14ac:dyDescent="0.2">
      <c r="A160" s="7" t="str">
        <f t="shared" si="16"/>
        <v>158-w01-p1</v>
      </c>
      <c r="B160" s="8" t="s">
        <v>178</v>
      </c>
      <c r="C160" s="8" t="s">
        <v>18</v>
      </c>
      <c r="D160" s="8">
        <v>1</v>
      </c>
      <c r="E160" s="8" t="s">
        <v>19</v>
      </c>
      <c r="F160" s="8" t="str">
        <f t="shared" si="17"/>
        <v>158-w01.jpg</v>
      </c>
      <c r="G160" s="8" t="str">
        <f t="shared" si="18"/>
        <v>images/158-w01.jpg</v>
      </c>
      <c r="H160" s="8" t="str">
        <f t="shared" si="19"/>
        <v>https://scholarbo.github.io/soseki-manuscripts/images/158-w01.jpg</v>
      </c>
      <c r="I160" s="8"/>
      <c r="J160" s="8" t="str">
        <f t="shared" si="20"/>
        <v>images/158-w01.jpg</v>
      </c>
      <c r="K160" s="8"/>
      <c r="L160" s="8"/>
      <c r="M160" s="7" t="str">
        <f t="shared" si="21"/>
        <v>158 第1頁</v>
      </c>
      <c r="N160" s="7" t="str">
        <f t="shared" si="22"/>
        <v>manifest-158-w01</v>
      </c>
      <c r="O160" s="7" t="str">
        <f t="shared" si="23"/>
        <v>canvas-158-w01</v>
      </c>
      <c r="P160" s="8" t="s">
        <v>20</v>
      </c>
      <c r="Q160" s="8"/>
    </row>
    <row r="161" spans="1:17" ht="32" customHeight="1" x14ac:dyDescent="0.2">
      <c r="A161" s="7" t="str">
        <f t="shared" si="16"/>
        <v>159-w01-p1</v>
      </c>
      <c r="B161" s="8" t="s">
        <v>179</v>
      </c>
      <c r="C161" s="8" t="s">
        <v>18</v>
      </c>
      <c r="D161" s="8">
        <v>1</v>
      </c>
      <c r="E161" s="8" t="s">
        <v>19</v>
      </c>
      <c r="F161" s="8" t="str">
        <f t="shared" si="17"/>
        <v>159-w01.jpg</v>
      </c>
      <c r="G161" s="8" t="str">
        <f t="shared" si="18"/>
        <v>images/159-w01.jpg</v>
      </c>
      <c r="H161" s="8" t="str">
        <f t="shared" si="19"/>
        <v>https://scholarbo.github.io/soseki-manuscripts/images/159-w01.jpg</v>
      </c>
      <c r="I161" s="8"/>
      <c r="J161" s="8" t="str">
        <f t="shared" si="20"/>
        <v>images/159-w01.jpg</v>
      </c>
      <c r="K161" s="8"/>
      <c r="L161" s="8"/>
      <c r="M161" s="7" t="str">
        <f t="shared" si="21"/>
        <v>159 第1頁</v>
      </c>
      <c r="N161" s="7" t="str">
        <f t="shared" si="22"/>
        <v>manifest-159-w01</v>
      </c>
      <c r="O161" s="7" t="str">
        <f t="shared" si="23"/>
        <v>canvas-159-w01</v>
      </c>
      <c r="P161" s="8" t="s">
        <v>20</v>
      </c>
      <c r="Q161" s="8"/>
    </row>
    <row r="162" spans="1:17" ht="32" customHeight="1" x14ac:dyDescent="0.2">
      <c r="A162" s="7" t="str">
        <f t="shared" si="16"/>
        <v>160-w01-p1</v>
      </c>
      <c r="B162" s="8" t="s">
        <v>180</v>
      </c>
      <c r="C162" s="8" t="s">
        <v>18</v>
      </c>
      <c r="D162" s="8">
        <v>1</v>
      </c>
      <c r="E162" s="8" t="s">
        <v>19</v>
      </c>
      <c r="F162" s="8" t="str">
        <f t="shared" si="17"/>
        <v>160-w01.jpg</v>
      </c>
      <c r="G162" s="8" t="str">
        <f t="shared" si="18"/>
        <v>images/160-w01.jpg</v>
      </c>
      <c r="H162" s="8" t="str">
        <f t="shared" si="19"/>
        <v>https://scholarbo.github.io/soseki-manuscripts/images/160-w01.jpg</v>
      </c>
      <c r="I162" s="8"/>
      <c r="J162" s="8" t="str">
        <f t="shared" si="20"/>
        <v>images/160-w01.jpg</v>
      </c>
      <c r="K162" s="8"/>
      <c r="L162" s="8"/>
      <c r="M162" s="7" t="str">
        <f t="shared" si="21"/>
        <v>160 第1頁</v>
      </c>
      <c r="N162" s="7" t="str">
        <f t="shared" si="22"/>
        <v>manifest-160-w01</v>
      </c>
      <c r="O162" s="7" t="str">
        <f t="shared" si="23"/>
        <v>canvas-160-w01</v>
      </c>
      <c r="P162" s="8" t="s">
        <v>20</v>
      </c>
      <c r="Q162" s="8"/>
    </row>
    <row r="163" spans="1:17" ht="32" customHeight="1" x14ac:dyDescent="0.2">
      <c r="A163" s="7" t="str">
        <f t="shared" si="16"/>
        <v>161-w01-p1</v>
      </c>
      <c r="B163" s="8" t="s">
        <v>181</v>
      </c>
      <c r="C163" s="8" t="s">
        <v>18</v>
      </c>
      <c r="D163" s="8">
        <v>1</v>
      </c>
      <c r="E163" s="8" t="s">
        <v>19</v>
      </c>
      <c r="F163" s="8" t="str">
        <f t="shared" si="17"/>
        <v>161-w01.jpg</v>
      </c>
      <c r="G163" s="8" t="str">
        <f t="shared" si="18"/>
        <v>images/161-w01.jpg</v>
      </c>
      <c r="H163" s="8" t="str">
        <f t="shared" si="19"/>
        <v>https://scholarbo.github.io/soseki-manuscripts/images/161-w01.jpg</v>
      </c>
      <c r="I163" s="8"/>
      <c r="J163" s="8" t="str">
        <f t="shared" si="20"/>
        <v>images/161-w01.jpg</v>
      </c>
      <c r="K163" s="8"/>
      <c r="L163" s="8"/>
      <c r="M163" s="7" t="str">
        <f t="shared" si="21"/>
        <v>161 第1頁</v>
      </c>
      <c r="N163" s="7" t="str">
        <f t="shared" si="22"/>
        <v>manifest-161-w01</v>
      </c>
      <c r="O163" s="7" t="str">
        <f t="shared" si="23"/>
        <v>canvas-161-w01</v>
      </c>
      <c r="P163" s="8" t="s">
        <v>20</v>
      </c>
      <c r="Q163" s="8"/>
    </row>
    <row r="164" spans="1:17" ht="32" customHeight="1" x14ac:dyDescent="0.2">
      <c r="A164" s="7" t="str">
        <f t="shared" si="16"/>
        <v>162-w01-p1</v>
      </c>
      <c r="B164" s="8" t="s">
        <v>182</v>
      </c>
      <c r="C164" s="8" t="s">
        <v>18</v>
      </c>
      <c r="D164" s="8">
        <v>1</v>
      </c>
      <c r="E164" s="8" t="s">
        <v>19</v>
      </c>
      <c r="F164" s="8" t="str">
        <f t="shared" si="17"/>
        <v>162-w01.jpg</v>
      </c>
      <c r="G164" s="8" t="str">
        <f t="shared" si="18"/>
        <v>images/162-w01.jpg</v>
      </c>
      <c r="H164" s="8" t="str">
        <f t="shared" si="19"/>
        <v>https://scholarbo.github.io/soseki-manuscripts/images/162-w01.jpg</v>
      </c>
      <c r="I164" s="8"/>
      <c r="J164" s="8" t="str">
        <f t="shared" si="20"/>
        <v>images/162-w01.jpg</v>
      </c>
      <c r="K164" s="8"/>
      <c r="L164" s="8"/>
      <c r="M164" s="7" t="str">
        <f t="shared" si="21"/>
        <v>162 第1頁</v>
      </c>
      <c r="N164" s="7" t="str">
        <f t="shared" si="22"/>
        <v>manifest-162-w01</v>
      </c>
      <c r="O164" s="7" t="str">
        <f t="shared" si="23"/>
        <v>canvas-162-w01</v>
      </c>
      <c r="P164" s="8" t="s">
        <v>20</v>
      </c>
      <c r="Q164" s="8"/>
    </row>
    <row r="165" spans="1:17" ht="32" customHeight="1" x14ac:dyDescent="0.2">
      <c r="A165" s="7" t="str">
        <f t="shared" si="16"/>
        <v>163-w01-p1</v>
      </c>
      <c r="B165" s="8" t="s">
        <v>183</v>
      </c>
      <c r="C165" s="8" t="s">
        <v>18</v>
      </c>
      <c r="D165" s="8">
        <v>1</v>
      </c>
      <c r="E165" s="8" t="s">
        <v>19</v>
      </c>
      <c r="F165" s="8" t="str">
        <f t="shared" si="17"/>
        <v>163-w01.jpg</v>
      </c>
      <c r="G165" s="8" t="str">
        <f t="shared" si="18"/>
        <v>images/163-w01.jpg</v>
      </c>
      <c r="H165" s="8" t="str">
        <f t="shared" si="19"/>
        <v>https://scholarbo.github.io/soseki-manuscripts/images/163-w01.jpg</v>
      </c>
      <c r="I165" s="8"/>
      <c r="J165" s="8" t="str">
        <f t="shared" si="20"/>
        <v>images/163-w01.jpg</v>
      </c>
      <c r="K165" s="8"/>
      <c r="L165" s="8"/>
      <c r="M165" s="7" t="str">
        <f t="shared" si="21"/>
        <v>163 第1頁</v>
      </c>
      <c r="N165" s="7" t="str">
        <f t="shared" si="22"/>
        <v>manifest-163-w01</v>
      </c>
      <c r="O165" s="7" t="str">
        <f t="shared" si="23"/>
        <v>canvas-163-w01</v>
      </c>
      <c r="P165" s="8" t="s">
        <v>20</v>
      </c>
      <c r="Q165" s="8"/>
    </row>
    <row r="166" spans="1:17" ht="32" customHeight="1" x14ac:dyDescent="0.2">
      <c r="A166" s="7" t="str">
        <f t="shared" si="16"/>
        <v>164-w01-p1</v>
      </c>
      <c r="B166" s="8" t="s">
        <v>184</v>
      </c>
      <c r="C166" s="8" t="s">
        <v>18</v>
      </c>
      <c r="D166" s="8">
        <v>1</v>
      </c>
      <c r="E166" s="8" t="s">
        <v>19</v>
      </c>
      <c r="F166" s="8" t="str">
        <f t="shared" si="17"/>
        <v>164-w01.jpg</v>
      </c>
      <c r="G166" s="8" t="str">
        <f t="shared" si="18"/>
        <v>images/164-w01.jpg</v>
      </c>
      <c r="H166" s="8" t="str">
        <f t="shared" si="19"/>
        <v>https://scholarbo.github.io/soseki-manuscripts/images/164-w01.jpg</v>
      </c>
      <c r="I166" s="8"/>
      <c r="J166" s="8" t="str">
        <f t="shared" si="20"/>
        <v>images/164-w01.jpg</v>
      </c>
      <c r="K166" s="8"/>
      <c r="L166" s="8"/>
      <c r="M166" s="7" t="str">
        <f t="shared" si="21"/>
        <v>164 第1頁</v>
      </c>
      <c r="N166" s="7" t="str">
        <f t="shared" si="22"/>
        <v>manifest-164-w01</v>
      </c>
      <c r="O166" s="7" t="str">
        <f t="shared" si="23"/>
        <v>canvas-164-w01</v>
      </c>
      <c r="P166" s="8" t="s">
        <v>20</v>
      </c>
      <c r="Q166" s="8"/>
    </row>
    <row r="167" spans="1:17" ht="32" customHeight="1" x14ac:dyDescent="0.2">
      <c r="A167" s="7" t="str">
        <f t="shared" si="16"/>
        <v>165-w01-p1</v>
      </c>
      <c r="B167" s="8" t="s">
        <v>185</v>
      </c>
      <c r="C167" s="8" t="s">
        <v>18</v>
      </c>
      <c r="D167" s="8">
        <v>1</v>
      </c>
      <c r="E167" s="8" t="s">
        <v>19</v>
      </c>
      <c r="F167" s="8" t="str">
        <f t="shared" si="17"/>
        <v>165-w01.jpg</v>
      </c>
      <c r="G167" s="8" t="str">
        <f t="shared" si="18"/>
        <v>images/165-w01.jpg</v>
      </c>
      <c r="H167" s="8" t="str">
        <f t="shared" si="19"/>
        <v>https://scholarbo.github.io/soseki-manuscripts/images/165-w01.jpg</v>
      </c>
      <c r="I167" s="8"/>
      <c r="J167" s="8" t="str">
        <f t="shared" si="20"/>
        <v>images/165-w01.jpg</v>
      </c>
      <c r="K167" s="8"/>
      <c r="L167" s="8"/>
      <c r="M167" s="7" t="str">
        <f t="shared" si="21"/>
        <v>165 第1頁</v>
      </c>
      <c r="N167" s="7" t="str">
        <f t="shared" si="22"/>
        <v>manifest-165-w01</v>
      </c>
      <c r="O167" s="7" t="str">
        <f t="shared" si="23"/>
        <v>canvas-165-w01</v>
      </c>
      <c r="P167" s="8" t="s">
        <v>20</v>
      </c>
      <c r="Q167" s="8"/>
    </row>
    <row r="168" spans="1:17" ht="32" customHeight="1" x14ac:dyDescent="0.2">
      <c r="A168" s="7" t="str">
        <f t="shared" si="16"/>
        <v>166-w01-p1</v>
      </c>
      <c r="B168" s="8" t="s">
        <v>186</v>
      </c>
      <c r="C168" s="8" t="s">
        <v>18</v>
      </c>
      <c r="D168" s="8">
        <v>1</v>
      </c>
      <c r="E168" s="8" t="s">
        <v>19</v>
      </c>
      <c r="F168" s="8" t="str">
        <f t="shared" si="17"/>
        <v>166-w01.jpg</v>
      </c>
      <c r="G168" s="8" t="str">
        <f t="shared" si="18"/>
        <v>images/166-w01.jpg</v>
      </c>
      <c r="H168" s="8" t="str">
        <f t="shared" si="19"/>
        <v>https://scholarbo.github.io/soseki-manuscripts/images/166-w01.jpg</v>
      </c>
      <c r="I168" s="8"/>
      <c r="J168" s="8" t="str">
        <f t="shared" si="20"/>
        <v>images/166-w01.jpg</v>
      </c>
      <c r="K168" s="8"/>
      <c r="L168" s="8"/>
      <c r="M168" s="7" t="str">
        <f t="shared" si="21"/>
        <v>166 第1頁</v>
      </c>
      <c r="N168" s="7" t="str">
        <f t="shared" si="22"/>
        <v>manifest-166-w01</v>
      </c>
      <c r="O168" s="7" t="str">
        <f t="shared" si="23"/>
        <v>canvas-166-w01</v>
      </c>
      <c r="P168" s="8" t="s">
        <v>20</v>
      </c>
      <c r="Q168" s="8"/>
    </row>
    <row r="169" spans="1:17" ht="32" customHeight="1" x14ac:dyDescent="0.2">
      <c r="A169" s="7" t="str">
        <f t="shared" si="16"/>
        <v>167-w01-p1</v>
      </c>
      <c r="B169" s="8" t="s">
        <v>187</v>
      </c>
      <c r="C169" s="8" t="s">
        <v>18</v>
      </c>
      <c r="D169" s="8">
        <v>1</v>
      </c>
      <c r="E169" s="8" t="s">
        <v>19</v>
      </c>
      <c r="F169" s="8" t="str">
        <f t="shared" si="17"/>
        <v>167-w01.jpg</v>
      </c>
      <c r="G169" s="8" t="str">
        <f t="shared" si="18"/>
        <v>images/167-w01.jpg</v>
      </c>
      <c r="H169" s="8" t="str">
        <f t="shared" si="19"/>
        <v>https://scholarbo.github.io/soseki-manuscripts/images/167-w01.jpg</v>
      </c>
      <c r="I169" s="8"/>
      <c r="J169" s="8" t="str">
        <f t="shared" si="20"/>
        <v>images/167-w01.jpg</v>
      </c>
      <c r="K169" s="8"/>
      <c r="L169" s="8"/>
      <c r="M169" s="7" t="str">
        <f t="shared" si="21"/>
        <v>167 第1頁</v>
      </c>
      <c r="N169" s="7" t="str">
        <f t="shared" si="22"/>
        <v>manifest-167-w01</v>
      </c>
      <c r="O169" s="7" t="str">
        <f t="shared" si="23"/>
        <v>canvas-167-w01</v>
      </c>
      <c r="P169" s="8" t="s">
        <v>20</v>
      </c>
      <c r="Q169" s="8"/>
    </row>
    <row r="170" spans="1:17" ht="32" customHeight="1" x14ac:dyDescent="0.2">
      <c r="A170" s="7" t="str">
        <f t="shared" si="16"/>
        <v>168-w01-p1</v>
      </c>
      <c r="B170" s="8" t="s">
        <v>188</v>
      </c>
      <c r="C170" s="8" t="s">
        <v>18</v>
      </c>
      <c r="D170" s="8">
        <v>1</v>
      </c>
      <c r="E170" s="8" t="s">
        <v>19</v>
      </c>
      <c r="F170" s="8" t="str">
        <f t="shared" si="17"/>
        <v>168-w01.jpg</v>
      </c>
      <c r="G170" s="8" t="str">
        <f t="shared" si="18"/>
        <v>images/168-w01.jpg</v>
      </c>
      <c r="H170" s="8" t="str">
        <f t="shared" si="19"/>
        <v>https://scholarbo.github.io/soseki-manuscripts/images/168-w01.jpg</v>
      </c>
      <c r="I170" s="8"/>
      <c r="J170" s="8" t="str">
        <f t="shared" si="20"/>
        <v>images/168-w01.jpg</v>
      </c>
      <c r="K170" s="8"/>
      <c r="L170" s="8"/>
      <c r="M170" s="7" t="str">
        <f t="shared" si="21"/>
        <v>168 第1頁</v>
      </c>
      <c r="N170" s="7" t="str">
        <f t="shared" si="22"/>
        <v>manifest-168-w01</v>
      </c>
      <c r="O170" s="7" t="str">
        <f t="shared" si="23"/>
        <v>canvas-168-w01</v>
      </c>
      <c r="P170" s="8" t="s">
        <v>20</v>
      </c>
      <c r="Q170" s="8"/>
    </row>
    <row r="171" spans="1:17" ht="32" customHeight="1" x14ac:dyDescent="0.2">
      <c r="A171" s="7" t="str">
        <f t="shared" si="16"/>
        <v>169-w01-p1</v>
      </c>
      <c r="B171" s="8" t="s">
        <v>189</v>
      </c>
      <c r="C171" s="8" t="s">
        <v>18</v>
      </c>
      <c r="D171" s="8">
        <v>1</v>
      </c>
      <c r="E171" s="8" t="s">
        <v>19</v>
      </c>
      <c r="F171" s="8" t="str">
        <f t="shared" si="17"/>
        <v>169-w01.jpg</v>
      </c>
      <c r="G171" s="8" t="str">
        <f t="shared" si="18"/>
        <v>images/169-w01.jpg</v>
      </c>
      <c r="H171" s="8" t="str">
        <f t="shared" si="19"/>
        <v>https://scholarbo.github.io/soseki-manuscripts/images/169-w01.jpg</v>
      </c>
      <c r="I171" s="8"/>
      <c r="J171" s="8" t="str">
        <f t="shared" si="20"/>
        <v>images/169-w01.jpg</v>
      </c>
      <c r="K171" s="8"/>
      <c r="L171" s="8"/>
      <c r="M171" s="7" t="str">
        <f t="shared" si="21"/>
        <v>169 第1頁</v>
      </c>
      <c r="N171" s="7" t="str">
        <f t="shared" si="22"/>
        <v>manifest-169-w01</v>
      </c>
      <c r="O171" s="7" t="str">
        <f t="shared" si="23"/>
        <v>canvas-169-w01</v>
      </c>
      <c r="P171" s="8" t="s">
        <v>20</v>
      </c>
      <c r="Q171" s="8"/>
    </row>
    <row r="172" spans="1:17" ht="32" customHeight="1" x14ac:dyDescent="0.2">
      <c r="A172" s="7" t="str">
        <f t="shared" si="16"/>
        <v>170-w01-p1</v>
      </c>
      <c r="B172" s="8" t="s">
        <v>190</v>
      </c>
      <c r="C172" s="8" t="s">
        <v>18</v>
      </c>
      <c r="D172" s="8">
        <v>1</v>
      </c>
      <c r="E172" s="8" t="s">
        <v>19</v>
      </c>
      <c r="F172" s="8" t="str">
        <f t="shared" si="17"/>
        <v>170-w01.jpg</v>
      </c>
      <c r="G172" s="8" t="str">
        <f t="shared" si="18"/>
        <v>images/170-w01.jpg</v>
      </c>
      <c r="H172" s="8" t="str">
        <f t="shared" si="19"/>
        <v>https://scholarbo.github.io/soseki-manuscripts/images/170-w01.jpg</v>
      </c>
      <c r="I172" s="8"/>
      <c r="J172" s="8" t="str">
        <f t="shared" si="20"/>
        <v>images/170-w01.jpg</v>
      </c>
      <c r="K172" s="8"/>
      <c r="L172" s="8"/>
      <c r="M172" s="7" t="str">
        <f t="shared" si="21"/>
        <v>170 第1頁</v>
      </c>
      <c r="N172" s="7" t="str">
        <f t="shared" si="22"/>
        <v>manifest-170-w01</v>
      </c>
      <c r="O172" s="7" t="str">
        <f t="shared" si="23"/>
        <v>canvas-170-w01</v>
      </c>
      <c r="P172" s="8" t="s">
        <v>20</v>
      </c>
      <c r="Q172" s="8"/>
    </row>
    <row r="173" spans="1:17" ht="32" customHeight="1" x14ac:dyDescent="0.2">
      <c r="A173" s="7" t="str">
        <f t="shared" si="16"/>
        <v>171-w01-p1</v>
      </c>
      <c r="B173" s="8" t="s">
        <v>191</v>
      </c>
      <c r="C173" s="8" t="s">
        <v>18</v>
      </c>
      <c r="D173" s="8">
        <v>1</v>
      </c>
      <c r="E173" s="8" t="s">
        <v>19</v>
      </c>
      <c r="F173" s="8" t="str">
        <f t="shared" si="17"/>
        <v>171-w01.jpg</v>
      </c>
      <c r="G173" s="8" t="str">
        <f t="shared" si="18"/>
        <v>images/171-w01.jpg</v>
      </c>
      <c r="H173" s="8" t="str">
        <f t="shared" si="19"/>
        <v>https://scholarbo.github.io/soseki-manuscripts/images/171-w01.jpg</v>
      </c>
      <c r="I173" s="8"/>
      <c r="J173" s="8" t="str">
        <f t="shared" si="20"/>
        <v>images/171-w01.jpg</v>
      </c>
      <c r="K173" s="8"/>
      <c r="L173" s="8"/>
      <c r="M173" s="7" t="str">
        <f t="shared" si="21"/>
        <v>171 第1頁</v>
      </c>
      <c r="N173" s="7" t="str">
        <f t="shared" si="22"/>
        <v>manifest-171-w01</v>
      </c>
      <c r="O173" s="7" t="str">
        <f t="shared" si="23"/>
        <v>canvas-171-w01</v>
      </c>
      <c r="P173" s="8" t="s">
        <v>20</v>
      </c>
      <c r="Q173" s="8"/>
    </row>
    <row r="174" spans="1:17" ht="32" customHeight="1" x14ac:dyDescent="0.2">
      <c r="A174" s="7" t="str">
        <f t="shared" si="16"/>
        <v>172-w01-p1</v>
      </c>
      <c r="B174" s="8" t="s">
        <v>192</v>
      </c>
      <c r="C174" s="8" t="s">
        <v>18</v>
      </c>
      <c r="D174" s="8">
        <v>1</v>
      </c>
      <c r="E174" s="8" t="s">
        <v>19</v>
      </c>
      <c r="F174" s="8" t="str">
        <f t="shared" si="17"/>
        <v>172-w01.jpg</v>
      </c>
      <c r="G174" s="8" t="str">
        <f t="shared" si="18"/>
        <v>images/172-w01.jpg</v>
      </c>
      <c r="H174" s="8" t="str">
        <f t="shared" si="19"/>
        <v>https://scholarbo.github.io/soseki-manuscripts/images/172-w01.jpg</v>
      </c>
      <c r="I174" s="8"/>
      <c r="J174" s="8" t="str">
        <f t="shared" si="20"/>
        <v>images/172-w01.jpg</v>
      </c>
      <c r="K174" s="8"/>
      <c r="L174" s="8"/>
      <c r="M174" s="7" t="str">
        <f t="shared" si="21"/>
        <v>172 第1頁</v>
      </c>
      <c r="N174" s="7" t="str">
        <f t="shared" si="22"/>
        <v>manifest-172-w01</v>
      </c>
      <c r="O174" s="7" t="str">
        <f t="shared" si="23"/>
        <v>canvas-172-w01</v>
      </c>
      <c r="P174" s="8" t="s">
        <v>20</v>
      </c>
      <c r="Q174" s="8"/>
    </row>
    <row r="175" spans="1:17" ht="32" customHeight="1" x14ac:dyDescent="0.2">
      <c r="A175" s="7" t="str">
        <f t="shared" si="16"/>
        <v>173-w01-p1</v>
      </c>
      <c r="B175" s="8" t="s">
        <v>193</v>
      </c>
      <c r="C175" s="8" t="s">
        <v>18</v>
      </c>
      <c r="D175" s="8">
        <v>1</v>
      </c>
      <c r="E175" s="8" t="s">
        <v>19</v>
      </c>
      <c r="F175" s="8" t="str">
        <f t="shared" si="17"/>
        <v>173-w01.jpg</v>
      </c>
      <c r="G175" s="8" t="str">
        <f t="shared" si="18"/>
        <v>images/173-w01.jpg</v>
      </c>
      <c r="H175" s="8" t="str">
        <f t="shared" si="19"/>
        <v>https://scholarbo.github.io/soseki-manuscripts/images/173-w01.jpg</v>
      </c>
      <c r="I175" s="8"/>
      <c r="J175" s="8" t="str">
        <f t="shared" si="20"/>
        <v>images/173-w01.jpg</v>
      </c>
      <c r="K175" s="8"/>
      <c r="L175" s="8"/>
      <c r="M175" s="7" t="str">
        <f t="shared" si="21"/>
        <v>173 第1頁</v>
      </c>
      <c r="N175" s="7" t="str">
        <f t="shared" si="22"/>
        <v>manifest-173-w01</v>
      </c>
      <c r="O175" s="7" t="str">
        <f t="shared" si="23"/>
        <v>canvas-173-w01</v>
      </c>
      <c r="P175" s="8" t="s">
        <v>20</v>
      </c>
      <c r="Q175" s="8"/>
    </row>
    <row r="176" spans="1:17" ht="32" customHeight="1" x14ac:dyDescent="0.2">
      <c r="A176" s="7" t="str">
        <f t="shared" si="16"/>
        <v>174-w01-p1</v>
      </c>
      <c r="B176" s="8" t="s">
        <v>194</v>
      </c>
      <c r="C176" s="8" t="s">
        <v>18</v>
      </c>
      <c r="D176" s="8">
        <v>1</v>
      </c>
      <c r="E176" s="8" t="s">
        <v>19</v>
      </c>
      <c r="F176" s="8" t="str">
        <f t="shared" si="17"/>
        <v>174-w01.jpg</v>
      </c>
      <c r="G176" s="8" t="str">
        <f t="shared" si="18"/>
        <v>images/174-w01.jpg</v>
      </c>
      <c r="H176" s="8" t="str">
        <f t="shared" si="19"/>
        <v>https://scholarbo.github.io/soseki-manuscripts/images/174-w01.jpg</v>
      </c>
      <c r="I176" s="8"/>
      <c r="J176" s="8" t="str">
        <f t="shared" si="20"/>
        <v>images/174-w01.jpg</v>
      </c>
      <c r="K176" s="8"/>
      <c r="L176" s="8"/>
      <c r="M176" s="7" t="str">
        <f t="shared" si="21"/>
        <v>174 第1頁</v>
      </c>
      <c r="N176" s="7" t="str">
        <f t="shared" si="22"/>
        <v>manifest-174-w01</v>
      </c>
      <c r="O176" s="7" t="str">
        <f t="shared" si="23"/>
        <v>canvas-174-w01</v>
      </c>
      <c r="P176" s="8" t="s">
        <v>20</v>
      </c>
      <c r="Q176" s="8"/>
    </row>
    <row r="177" spans="1:17" ht="32" customHeight="1" x14ac:dyDescent="0.2">
      <c r="A177" s="7" t="str">
        <f t="shared" si="16"/>
        <v>175-w01-p1</v>
      </c>
      <c r="B177" s="8" t="s">
        <v>195</v>
      </c>
      <c r="C177" s="8" t="s">
        <v>18</v>
      </c>
      <c r="D177" s="8">
        <v>1</v>
      </c>
      <c r="E177" s="8" t="s">
        <v>19</v>
      </c>
      <c r="F177" s="8" t="str">
        <f t="shared" si="17"/>
        <v>175-w01.jpg</v>
      </c>
      <c r="G177" s="8" t="str">
        <f t="shared" si="18"/>
        <v>images/175-w01.jpg</v>
      </c>
      <c r="H177" s="8" t="str">
        <f t="shared" si="19"/>
        <v>https://scholarbo.github.io/soseki-manuscripts/images/175-w01.jpg</v>
      </c>
      <c r="I177" s="8"/>
      <c r="J177" s="8" t="str">
        <f t="shared" si="20"/>
        <v>images/175-w01.jpg</v>
      </c>
      <c r="K177" s="8"/>
      <c r="L177" s="8"/>
      <c r="M177" s="7" t="str">
        <f t="shared" si="21"/>
        <v>175 第1頁</v>
      </c>
      <c r="N177" s="7" t="str">
        <f t="shared" si="22"/>
        <v>manifest-175-w01</v>
      </c>
      <c r="O177" s="7" t="str">
        <f t="shared" si="23"/>
        <v>canvas-175-w01</v>
      </c>
      <c r="P177" s="8" t="s">
        <v>20</v>
      </c>
      <c r="Q177" s="8"/>
    </row>
    <row r="178" spans="1:17" ht="32" customHeight="1" x14ac:dyDescent="0.2">
      <c r="A178" s="7" t="str">
        <f t="shared" si="16"/>
        <v>176-w01-p1</v>
      </c>
      <c r="B178" s="8" t="s">
        <v>196</v>
      </c>
      <c r="C178" s="8" t="s">
        <v>18</v>
      </c>
      <c r="D178" s="8">
        <v>1</v>
      </c>
      <c r="E178" s="8" t="s">
        <v>19</v>
      </c>
      <c r="F178" s="8" t="str">
        <f t="shared" si="17"/>
        <v>176-w01.jpg</v>
      </c>
      <c r="G178" s="8" t="str">
        <f t="shared" si="18"/>
        <v>images/176-w01.jpg</v>
      </c>
      <c r="H178" s="8" t="str">
        <f t="shared" si="19"/>
        <v>https://scholarbo.github.io/soseki-manuscripts/images/176-w01.jpg</v>
      </c>
      <c r="I178" s="8"/>
      <c r="J178" s="8" t="str">
        <f t="shared" si="20"/>
        <v>images/176-w01.jpg</v>
      </c>
      <c r="K178" s="8"/>
      <c r="L178" s="8"/>
      <c r="M178" s="7" t="str">
        <f t="shared" si="21"/>
        <v>176 第1頁</v>
      </c>
      <c r="N178" s="7" t="str">
        <f t="shared" si="22"/>
        <v>manifest-176-w01</v>
      </c>
      <c r="O178" s="7" t="str">
        <f t="shared" si="23"/>
        <v>canvas-176-w01</v>
      </c>
      <c r="P178" s="8" t="s">
        <v>20</v>
      </c>
      <c r="Q178" s="8"/>
    </row>
    <row r="179" spans="1:17" ht="32" customHeight="1" x14ac:dyDescent="0.2">
      <c r="A179" s="7" t="str">
        <f t="shared" si="16"/>
        <v>177-w01-p1</v>
      </c>
      <c r="B179" s="8" t="s">
        <v>197</v>
      </c>
      <c r="C179" s="8" t="s">
        <v>18</v>
      </c>
      <c r="D179" s="8">
        <v>1</v>
      </c>
      <c r="E179" s="8" t="s">
        <v>19</v>
      </c>
      <c r="F179" s="8" t="str">
        <f t="shared" si="17"/>
        <v>177-w01.jpg</v>
      </c>
      <c r="G179" s="8" t="str">
        <f t="shared" si="18"/>
        <v>images/177-w01.jpg</v>
      </c>
      <c r="H179" s="8" t="str">
        <f t="shared" si="19"/>
        <v>https://scholarbo.github.io/soseki-manuscripts/images/177-w01.jpg</v>
      </c>
      <c r="I179" s="8"/>
      <c r="J179" s="8" t="str">
        <f t="shared" si="20"/>
        <v>images/177-w01.jpg</v>
      </c>
      <c r="K179" s="8"/>
      <c r="L179" s="8"/>
      <c r="M179" s="7" t="str">
        <f t="shared" si="21"/>
        <v>177 第1頁</v>
      </c>
      <c r="N179" s="7" t="str">
        <f t="shared" si="22"/>
        <v>manifest-177-w01</v>
      </c>
      <c r="O179" s="7" t="str">
        <f t="shared" si="23"/>
        <v>canvas-177-w01</v>
      </c>
      <c r="P179" s="8" t="s">
        <v>20</v>
      </c>
      <c r="Q179" s="8"/>
    </row>
    <row r="180" spans="1:17" ht="32" customHeight="1" x14ac:dyDescent="0.2">
      <c r="A180" s="7" t="str">
        <f t="shared" si="16"/>
        <v>178-w01-p1</v>
      </c>
      <c r="B180" s="8" t="s">
        <v>198</v>
      </c>
      <c r="C180" s="8" t="s">
        <v>18</v>
      </c>
      <c r="D180" s="8">
        <v>1</v>
      </c>
      <c r="E180" s="8" t="s">
        <v>19</v>
      </c>
      <c r="F180" s="8" t="str">
        <f t="shared" si="17"/>
        <v>178-w01.jpg</v>
      </c>
      <c r="G180" s="8" t="str">
        <f t="shared" si="18"/>
        <v>images/178-w01.jpg</v>
      </c>
      <c r="H180" s="8" t="str">
        <f t="shared" si="19"/>
        <v>https://scholarbo.github.io/soseki-manuscripts/images/178-w01.jpg</v>
      </c>
      <c r="I180" s="8"/>
      <c r="J180" s="8" t="str">
        <f t="shared" si="20"/>
        <v>images/178-w01.jpg</v>
      </c>
      <c r="K180" s="8"/>
      <c r="L180" s="8"/>
      <c r="M180" s="7" t="str">
        <f t="shared" si="21"/>
        <v>178 第1頁</v>
      </c>
      <c r="N180" s="7" t="str">
        <f t="shared" si="22"/>
        <v>manifest-178-w01</v>
      </c>
      <c r="O180" s="7" t="str">
        <f t="shared" si="23"/>
        <v>canvas-178-w01</v>
      </c>
      <c r="P180" s="8" t="s">
        <v>20</v>
      </c>
      <c r="Q180" s="8"/>
    </row>
    <row r="181" spans="1:17" ht="32" customHeight="1" x14ac:dyDescent="0.2">
      <c r="A181" s="7" t="str">
        <f t="shared" si="16"/>
        <v>179-w01-p1</v>
      </c>
      <c r="B181" s="8" t="s">
        <v>199</v>
      </c>
      <c r="C181" s="8" t="s">
        <v>18</v>
      </c>
      <c r="D181" s="8">
        <v>1</v>
      </c>
      <c r="E181" s="8" t="s">
        <v>19</v>
      </c>
      <c r="F181" s="8" t="str">
        <f t="shared" si="17"/>
        <v>179-w01.jpg</v>
      </c>
      <c r="G181" s="8" t="str">
        <f t="shared" si="18"/>
        <v>images/179-w01.jpg</v>
      </c>
      <c r="H181" s="8" t="str">
        <f t="shared" si="19"/>
        <v>https://scholarbo.github.io/soseki-manuscripts/images/179-w01.jpg</v>
      </c>
      <c r="I181" s="8"/>
      <c r="J181" s="8" t="str">
        <f t="shared" si="20"/>
        <v>images/179-w01.jpg</v>
      </c>
      <c r="K181" s="8"/>
      <c r="L181" s="8"/>
      <c r="M181" s="7" t="str">
        <f t="shared" si="21"/>
        <v>179 第1頁</v>
      </c>
      <c r="N181" s="7" t="str">
        <f t="shared" si="22"/>
        <v>manifest-179-w01</v>
      </c>
      <c r="O181" s="7" t="str">
        <f t="shared" si="23"/>
        <v>canvas-179-w01</v>
      </c>
      <c r="P181" s="8" t="s">
        <v>20</v>
      </c>
      <c r="Q181" s="8"/>
    </row>
    <row r="182" spans="1:17" ht="32" customHeight="1" x14ac:dyDescent="0.2">
      <c r="A182" s="7" t="str">
        <f t="shared" si="16"/>
        <v>180-w01-p1</v>
      </c>
      <c r="B182" s="8" t="s">
        <v>200</v>
      </c>
      <c r="C182" s="8" t="s">
        <v>18</v>
      </c>
      <c r="D182" s="8">
        <v>1</v>
      </c>
      <c r="E182" s="8" t="s">
        <v>19</v>
      </c>
      <c r="F182" s="8" t="str">
        <f t="shared" si="17"/>
        <v>180-w01.jpg</v>
      </c>
      <c r="G182" s="8" t="str">
        <f t="shared" si="18"/>
        <v>images/180-w01.jpg</v>
      </c>
      <c r="H182" s="8" t="str">
        <f t="shared" si="19"/>
        <v>https://scholarbo.github.io/soseki-manuscripts/images/180-w01.jpg</v>
      </c>
      <c r="I182" s="8"/>
      <c r="J182" s="8" t="str">
        <f t="shared" si="20"/>
        <v>images/180-w01.jpg</v>
      </c>
      <c r="K182" s="8"/>
      <c r="L182" s="8"/>
      <c r="M182" s="7" t="str">
        <f t="shared" si="21"/>
        <v>180 第1頁</v>
      </c>
      <c r="N182" s="7" t="str">
        <f t="shared" si="22"/>
        <v>manifest-180-w01</v>
      </c>
      <c r="O182" s="7" t="str">
        <f t="shared" si="23"/>
        <v>canvas-180-w01</v>
      </c>
      <c r="P182" s="8" t="s">
        <v>20</v>
      </c>
      <c r="Q182" s="8"/>
    </row>
    <row r="183" spans="1:17" ht="32" customHeight="1" x14ac:dyDescent="0.2">
      <c r="A183" s="7" t="str">
        <f t="shared" si="16"/>
        <v>181-w01-p1</v>
      </c>
      <c r="B183" s="8" t="s">
        <v>201</v>
      </c>
      <c r="C183" s="8" t="s">
        <v>18</v>
      </c>
      <c r="D183" s="8">
        <v>1</v>
      </c>
      <c r="E183" s="8" t="s">
        <v>19</v>
      </c>
      <c r="F183" s="8" t="str">
        <f t="shared" si="17"/>
        <v>181-w01.jpg</v>
      </c>
      <c r="G183" s="8" t="str">
        <f t="shared" si="18"/>
        <v>images/181-w01.jpg</v>
      </c>
      <c r="H183" s="8" t="str">
        <f t="shared" si="19"/>
        <v>https://scholarbo.github.io/soseki-manuscripts/images/181-w01.jpg</v>
      </c>
      <c r="I183" s="8"/>
      <c r="J183" s="8" t="str">
        <f t="shared" si="20"/>
        <v>images/181-w01.jpg</v>
      </c>
      <c r="K183" s="8"/>
      <c r="L183" s="8"/>
      <c r="M183" s="7" t="str">
        <f t="shared" si="21"/>
        <v>181 第1頁</v>
      </c>
      <c r="N183" s="7" t="str">
        <f t="shared" si="22"/>
        <v>manifest-181-w01</v>
      </c>
      <c r="O183" s="7" t="str">
        <f t="shared" si="23"/>
        <v>canvas-181-w01</v>
      </c>
      <c r="P183" s="8" t="s">
        <v>20</v>
      </c>
      <c r="Q183" s="8"/>
    </row>
    <row r="184" spans="1:17" ht="32" customHeight="1" x14ac:dyDescent="0.2">
      <c r="A184" s="7" t="str">
        <f t="shared" si="16"/>
        <v>182-w01-p1</v>
      </c>
      <c r="B184" s="8" t="s">
        <v>202</v>
      </c>
      <c r="C184" s="8" t="s">
        <v>18</v>
      </c>
      <c r="D184" s="8">
        <v>1</v>
      </c>
      <c r="E184" s="8" t="s">
        <v>19</v>
      </c>
      <c r="F184" s="8" t="str">
        <f t="shared" si="17"/>
        <v>182-w01.jpg</v>
      </c>
      <c r="G184" s="8" t="str">
        <f t="shared" si="18"/>
        <v>images/182-w01.jpg</v>
      </c>
      <c r="H184" s="8" t="str">
        <f t="shared" si="19"/>
        <v>https://scholarbo.github.io/soseki-manuscripts/images/182-w01.jpg</v>
      </c>
      <c r="I184" s="8"/>
      <c r="J184" s="8" t="str">
        <f t="shared" si="20"/>
        <v>images/182-w01.jpg</v>
      </c>
      <c r="K184" s="8"/>
      <c r="L184" s="8"/>
      <c r="M184" s="7" t="str">
        <f t="shared" si="21"/>
        <v>182 第1頁</v>
      </c>
      <c r="N184" s="7" t="str">
        <f t="shared" si="22"/>
        <v>manifest-182-w01</v>
      </c>
      <c r="O184" s="7" t="str">
        <f t="shared" si="23"/>
        <v>canvas-182-w01</v>
      </c>
      <c r="P184" s="8" t="s">
        <v>20</v>
      </c>
      <c r="Q184" s="8"/>
    </row>
    <row r="185" spans="1:17" ht="32" customHeight="1" x14ac:dyDescent="0.2">
      <c r="A185" s="7" t="str">
        <f t="shared" si="16"/>
        <v>183-w01-p1</v>
      </c>
      <c r="B185" s="8" t="s">
        <v>203</v>
      </c>
      <c r="C185" s="8" t="s">
        <v>18</v>
      </c>
      <c r="D185" s="8">
        <v>1</v>
      </c>
      <c r="E185" s="8" t="s">
        <v>19</v>
      </c>
      <c r="F185" s="8" t="str">
        <f t="shared" si="17"/>
        <v>183-w01.jpg</v>
      </c>
      <c r="G185" s="8" t="str">
        <f t="shared" si="18"/>
        <v>images/183-w01.jpg</v>
      </c>
      <c r="H185" s="8" t="str">
        <f t="shared" si="19"/>
        <v>https://scholarbo.github.io/soseki-manuscripts/images/183-w01.jpg</v>
      </c>
      <c r="I185" s="8"/>
      <c r="J185" s="8" t="str">
        <f t="shared" si="20"/>
        <v>images/183-w01.jpg</v>
      </c>
      <c r="K185" s="8"/>
      <c r="L185" s="8"/>
      <c r="M185" s="7" t="str">
        <f t="shared" si="21"/>
        <v>183 第1頁</v>
      </c>
      <c r="N185" s="7" t="str">
        <f t="shared" si="22"/>
        <v>manifest-183-w01</v>
      </c>
      <c r="O185" s="7" t="str">
        <f t="shared" si="23"/>
        <v>canvas-183-w01</v>
      </c>
      <c r="P185" s="8" t="s">
        <v>20</v>
      </c>
      <c r="Q185" s="8"/>
    </row>
    <row r="186" spans="1:17" ht="32" customHeight="1" x14ac:dyDescent="0.2">
      <c r="A186" s="7" t="str">
        <f t="shared" si="16"/>
        <v>184-w01-p1</v>
      </c>
      <c r="B186" s="8" t="s">
        <v>204</v>
      </c>
      <c r="C186" s="8" t="s">
        <v>18</v>
      </c>
      <c r="D186" s="8">
        <v>1</v>
      </c>
      <c r="E186" s="8" t="s">
        <v>19</v>
      </c>
      <c r="F186" s="8" t="str">
        <f t="shared" si="17"/>
        <v>184-w01.jpg</v>
      </c>
      <c r="G186" s="8" t="str">
        <f t="shared" si="18"/>
        <v>images/184-w01.jpg</v>
      </c>
      <c r="H186" s="8" t="str">
        <f t="shared" si="19"/>
        <v>https://scholarbo.github.io/soseki-manuscripts/images/184-w01.jpg</v>
      </c>
      <c r="I186" s="8"/>
      <c r="J186" s="8" t="str">
        <f t="shared" si="20"/>
        <v>images/184-w01.jpg</v>
      </c>
      <c r="K186" s="8"/>
      <c r="L186" s="8"/>
      <c r="M186" s="7" t="str">
        <f t="shared" si="21"/>
        <v>184 第1頁</v>
      </c>
      <c r="N186" s="7" t="str">
        <f t="shared" si="22"/>
        <v>manifest-184-w01</v>
      </c>
      <c r="O186" s="7" t="str">
        <f t="shared" si="23"/>
        <v>canvas-184-w01</v>
      </c>
      <c r="P186" s="8" t="s">
        <v>20</v>
      </c>
      <c r="Q186" s="8"/>
    </row>
    <row r="187" spans="1:17" ht="32" customHeight="1" x14ac:dyDescent="0.2">
      <c r="A187" s="7" t="str">
        <f t="shared" si="16"/>
        <v>185-w01-p1</v>
      </c>
      <c r="B187" s="8" t="s">
        <v>205</v>
      </c>
      <c r="C187" s="8" t="s">
        <v>18</v>
      </c>
      <c r="D187" s="8">
        <v>1</v>
      </c>
      <c r="E187" s="8" t="s">
        <v>19</v>
      </c>
      <c r="F187" s="8" t="str">
        <f t="shared" si="17"/>
        <v>185-w01.jpg</v>
      </c>
      <c r="G187" s="8" t="str">
        <f t="shared" si="18"/>
        <v>images/185-w01.jpg</v>
      </c>
      <c r="H187" s="8" t="str">
        <f t="shared" si="19"/>
        <v>https://scholarbo.github.io/soseki-manuscripts/images/185-w01.jpg</v>
      </c>
      <c r="I187" s="8"/>
      <c r="J187" s="8" t="str">
        <f t="shared" si="20"/>
        <v>images/185-w01.jpg</v>
      </c>
      <c r="K187" s="8"/>
      <c r="L187" s="8"/>
      <c r="M187" s="7" t="str">
        <f t="shared" si="21"/>
        <v>185 第1頁</v>
      </c>
      <c r="N187" s="7" t="str">
        <f t="shared" si="22"/>
        <v>manifest-185-w01</v>
      </c>
      <c r="O187" s="7" t="str">
        <f t="shared" si="23"/>
        <v>canvas-185-w01</v>
      </c>
      <c r="P187" s="8" t="s">
        <v>20</v>
      </c>
      <c r="Q187" s="8"/>
    </row>
    <row r="188" spans="1:17" ht="32" customHeight="1" x14ac:dyDescent="0.2">
      <c r="A188" s="7" t="str">
        <f t="shared" si="16"/>
        <v>186-w01-p1</v>
      </c>
      <c r="B188" s="8" t="s">
        <v>206</v>
      </c>
      <c r="C188" s="8" t="s">
        <v>18</v>
      </c>
      <c r="D188" s="8">
        <v>1</v>
      </c>
      <c r="E188" s="8" t="s">
        <v>19</v>
      </c>
      <c r="F188" s="8" t="str">
        <f t="shared" si="17"/>
        <v>186-w01.jpg</v>
      </c>
      <c r="G188" s="8" t="str">
        <f t="shared" si="18"/>
        <v>images/186-w01.jpg</v>
      </c>
      <c r="H188" s="8" t="str">
        <f t="shared" si="19"/>
        <v>https://scholarbo.github.io/soseki-manuscripts/images/186-w01.jpg</v>
      </c>
      <c r="I188" s="8"/>
      <c r="J188" s="8" t="str">
        <f t="shared" si="20"/>
        <v>images/186-w01.jpg</v>
      </c>
      <c r="K188" s="8"/>
      <c r="L188" s="8"/>
      <c r="M188" s="7" t="str">
        <f t="shared" si="21"/>
        <v>186 第1頁</v>
      </c>
      <c r="N188" s="7" t="str">
        <f t="shared" si="22"/>
        <v>manifest-186-w01</v>
      </c>
      <c r="O188" s="7" t="str">
        <f t="shared" si="23"/>
        <v>canvas-186-w01</v>
      </c>
      <c r="P188" s="8" t="s">
        <v>20</v>
      </c>
      <c r="Q188" s="8"/>
    </row>
    <row r="189" spans="1:17" ht="32" customHeight="1" x14ac:dyDescent="0.2">
      <c r="A189" s="7" t="str">
        <f t="shared" si="16"/>
        <v>187-w01-p1</v>
      </c>
      <c r="B189" s="8" t="s">
        <v>207</v>
      </c>
      <c r="C189" s="8" t="s">
        <v>18</v>
      </c>
      <c r="D189" s="8">
        <v>1</v>
      </c>
      <c r="E189" s="8" t="s">
        <v>19</v>
      </c>
      <c r="F189" s="8" t="str">
        <f t="shared" si="17"/>
        <v>187-w01.jpg</v>
      </c>
      <c r="G189" s="8" t="str">
        <f t="shared" si="18"/>
        <v>images/187-w01.jpg</v>
      </c>
      <c r="H189" s="8" t="str">
        <f t="shared" si="19"/>
        <v>https://scholarbo.github.io/soseki-manuscripts/images/187-w01.jpg</v>
      </c>
      <c r="I189" s="8"/>
      <c r="J189" s="8" t="str">
        <f t="shared" si="20"/>
        <v>images/187-w01.jpg</v>
      </c>
      <c r="K189" s="8"/>
      <c r="L189" s="8"/>
      <c r="M189" s="7" t="str">
        <f t="shared" si="21"/>
        <v>187 第1頁</v>
      </c>
      <c r="N189" s="7" t="str">
        <f t="shared" si="22"/>
        <v>manifest-187-w01</v>
      </c>
      <c r="O189" s="7" t="str">
        <f t="shared" si="23"/>
        <v>canvas-187-w01</v>
      </c>
      <c r="P189" s="8" t="s">
        <v>20</v>
      </c>
      <c r="Q189" s="8"/>
    </row>
    <row r="190" spans="1:17" ht="32" customHeight="1" x14ac:dyDescent="0.2">
      <c r="A190" s="7" t="str">
        <f t="shared" si="16"/>
        <v>188-w01-p1</v>
      </c>
      <c r="B190" s="8" t="s">
        <v>208</v>
      </c>
      <c r="C190" s="8" t="s">
        <v>18</v>
      </c>
      <c r="D190" s="8">
        <v>1</v>
      </c>
      <c r="E190" s="8" t="s">
        <v>19</v>
      </c>
      <c r="F190" s="8" t="str">
        <f t="shared" si="17"/>
        <v>188-w01.jpg</v>
      </c>
      <c r="G190" s="8" t="str">
        <f t="shared" si="18"/>
        <v>images/188-w01.jpg</v>
      </c>
      <c r="H190" s="8" t="str">
        <f t="shared" si="19"/>
        <v>https://scholarbo.github.io/soseki-manuscripts/images/188-w01.jpg</v>
      </c>
      <c r="I190" s="8"/>
      <c r="J190" s="8" t="str">
        <f t="shared" si="20"/>
        <v>images/188-w01.jpg</v>
      </c>
      <c r="K190" s="8"/>
      <c r="L190" s="8"/>
      <c r="M190" s="7" t="str">
        <f t="shared" si="21"/>
        <v>188 第1頁</v>
      </c>
      <c r="N190" s="7" t="str">
        <f t="shared" si="22"/>
        <v>manifest-188-w01</v>
      </c>
      <c r="O190" s="7" t="str">
        <f t="shared" si="23"/>
        <v>canvas-188-w01</v>
      </c>
      <c r="P190" s="8" t="s">
        <v>20</v>
      </c>
      <c r="Q190" s="8"/>
    </row>
    <row r="191" spans="1:17" ht="32" customHeight="1" x14ac:dyDescent="0.2">
      <c r="A191" s="7" t="str">
        <f t="shared" si="16"/>
        <v>189-w01-p1</v>
      </c>
      <c r="B191" s="8" t="s">
        <v>209</v>
      </c>
      <c r="C191" s="8" t="s">
        <v>18</v>
      </c>
      <c r="D191" s="8">
        <v>1</v>
      </c>
      <c r="E191" s="8" t="s">
        <v>19</v>
      </c>
      <c r="F191" s="8" t="str">
        <f t="shared" si="17"/>
        <v>189-w01.jpg</v>
      </c>
      <c r="G191" s="8" t="str">
        <f t="shared" si="18"/>
        <v>images/189-w01.jpg</v>
      </c>
      <c r="H191" s="8" t="str">
        <f t="shared" si="19"/>
        <v>https://scholarbo.github.io/soseki-manuscripts/images/189-w01.jpg</v>
      </c>
      <c r="I191" s="8"/>
      <c r="J191" s="8" t="str">
        <f t="shared" si="20"/>
        <v>images/189-w01.jpg</v>
      </c>
      <c r="K191" s="8"/>
      <c r="L191" s="8"/>
      <c r="M191" s="7" t="str">
        <f t="shared" si="21"/>
        <v>189 第1頁</v>
      </c>
      <c r="N191" s="7" t="str">
        <f t="shared" si="22"/>
        <v>manifest-189-w01</v>
      </c>
      <c r="O191" s="7" t="str">
        <f t="shared" si="23"/>
        <v>canvas-189-w01</v>
      </c>
      <c r="P191" s="8" t="s">
        <v>20</v>
      </c>
      <c r="Q191" s="8"/>
    </row>
    <row r="192" spans="1:17" ht="32" customHeight="1" x14ac:dyDescent="0.2">
      <c r="A192" s="7" t="str">
        <f t="shared" si="16"/>
        <v>190-w01-p1</v>
      </c>
      <c r="B192" s="8" t="s">
        <v>210</v>
      </c>
      <c r="C192" s="8" t="s">
        <v>18</v>
      </c>
      <c r="D192" s="8">
        <v>1</v>
      </c>
      <c r="E192" s="8" t="s">
        <v>19</v>
      </c>
      <c r="F192" s="8" t="str">
        <f t="shared" si="17"/>
        <v>190-w01.jpg</v>
      </c>
      <c r="G192" s="8" t="str">
        <f t="shared" si="18"/>
        <v>images/190-w01.jpg</v>
      </c>
      <c r="H192" s="8" t="str">
        <f t="shared" si="19"/>
        <v>https://scholarbo.github.io/soseki-manuscripts/images/190-w01.jpg</v>
      </c>
      <c r="I192" s="8"/>
      <c r="J192" s="8" t="str">
        <f t="shared" si="20"/>
        <v>images/190-w01.jpg</v>
      </c>
      <c r="K192" s="8"/>
      <c r="L192" s="8"/>
      <c r="M192" s="7" t="str">
        <f t="shared" si="21"/>
        <v>190 第1頁</v>
      </c>
      <c r="N192" s="7" t="str">
        <f t="shared" si="22"/>
        <v>manifest-190-w01</v>
      </c>
      <c r="O192" s="7" t="str">
        <f t="shared" si="23"/>
        <v>canvas-190-w01</v>
      </c>
      <c r="P192" s="8" t="s">
        <v>20</v>
      </c>
      <c r="Q192" s="8"/>
    </row>
    <row r="193" spans="1:17" ht="32" customHeight="1" x14ac:dyDescent="0.2">
      <c r="A193" s="7" t="str">
        <f t="shared" si="16"/>
        <v>191-w01-p1</v>
      </c>
      <c r="B193" s="8" t="s">
        <v>211</v>
      </c>
      <c r="C193" s="8" t="s">
        <v>18</v>
      </c>
      <c r="D193" s="8">
        <v>1</v>
      </c>
      <c r="E193" s="8" t="s">
        <v>19</v>
      </c>
      <c r="F193" s="8" t="str">
        <f t="shared" si="17"/>
        <v>191-w01.jpg</v>
      </c>
      <c r="G193" s="8" t="str">
        <f t="shared" si="18"/>
        <v>images/191-w01.jpg</v>
      </c>
      <c r="H193" s="8" t="str">
        <f t="shared" si="19"/>
        <v>https://scholarbo.github.io/soseki-manuscripts/images/191-w01.jpg</v>
      </c>
      <c r="I193" s="8"/>
      <c r="J193" s="8" t="str">
        <f t="shared" si="20"/>
        <v>images/191-w01.jpg</v>
      </c>
      <c r="K193" s="8"/>
      <c r="L193" s="8"/>
      <c r="M193" s="7" t="str">
        <f t="shared" si="21"/>
        <v>191 第1頁</v>
      </c>
      <c r="N193" s="7" t="str">
        <f t="shared" si="22"/>
        <v>manifest-191-w01</v>
      </c>
      <c r="O193" s="7" t="str">
        <f t="shared" si="23"/>
        <v>canvas-191-w01</v>
      </c>
      <c r="P193" s="8" t="s">
        <v>20</v>
      </c>
      <c r="Q193" s="8"/>
    </row>
    <row r="194" spans="1:17" ht="32" customHeight="1" x14ac:dyDescent="0.2">
      <c r="A194" s="7" t="str">
        <f t="shared" ref="A194:A248" si="24">IF(OR(B194="",D194=""),"",B194&amp;IF(C194="","","-"&amp;C194)&amp;"-p"&amp;D194)</f>
        <v>192-w01-p1</v>
      </c>
      <c r="B194" s="8" t="s">
        <v>212</v>
      </c>
      <c r="C194" s="8" t="s">
        <v>18</v>
      </c>
      <c r="D194" s="8">
        <v>1</v>
      </c>
      <c r="E194" s="8" t="s">
        <v>19</v>
      </c>
      <c r="F194" s="8" t="str">
        <f t="shared" ref="F194:F248" si="25">IF(OR(B194="",C194=""),"",B194&amp;"-"&amp;C194&amp;".jpg")</f>
        <v>192-w01.jpg</v>
      </c>
      <c r="G194" s="8" t="str">
        <f t="shared" ref="G194:G248" si="26">IF(OR(B194="",C194=""),"","images/"&amp;B194&amp;"-"&amp;C194&amp;".jpg")</f>
        <v>images/192-w01.jpg</v>
      </c>
      <c r="H194" s="8" t="str">
        <f t="shared" ref="H194:H248" si="27">IF(OR(B194="",C194=""),"","https://scholarbo.github.io/soseki-manuscripts/images/"&amp;B194&amp;"-"&amp;C194&amp;".jpg")</f>
        <v>https://scholarbo.github.io/soseki-manuscripts/images/192-w01.jpg</v>
      </c>
      <c r="I194" s="8"/>
      <c r="J194" s="8" t="str">
        <f t="shared" ref="J194:J248" si="28">IF(OR(B194="",C194="",E194&lt;&gt;"iiif"),"","images/"&amp;B194&amp;"-"&amp;C194&amp;".jpg")</f>
        <v>images/192-w01.jpg</v>
      </c>
      <c r="K194" s="8"/>
      <c r="L194" s="8"/>
      <c r="M194" s="7" t="str">
        <f t="shared" ref="M194:M248" si="29">IF(OR(B194="",D194=""),"",B194&amp;IF(C194="","",IF(C194="w01",""," 第"&amp;VALUE(RIGHT(C194,2))&amp;"版"))&amp;" 第"&amp;D194&amp;"頁")</f>
        <v>192 第1頁</v>
      </c>
      <c r="N194" s="7" t="str">
        <f t="shared" ref="N194:N248" si="30">IF(OR(B194="",C194=""),"","manifest-"&amp;B194&amp;"-"&amp;C194)</f>
        <v>manifest-192-w01</v>
      </c>
      <c r="O194" s="7" t="str">
        <f t="shared" ref="O194:O248" si="31">IF(OR(B194="",C194="",D194=""),"","canvas-"&amp;B194&amp;"-"&amp;C194&amp;IF(D194=1,"","-p"&amp;D194))</f>
        <v>canvas-192-w01</v>
      </c>
      <c r="P194" s="8" t="s">
        <v>20</v>
      </c>
      <c r="Q194" s="8"/>
    </row>
    <row r="195" spans="1:17" ht="32" customHeight="1" x14ac:dyDescent="0.2">
      <c r="A195" s="7" t="str">
        <f t="shared" si="24"/>
        <v>193-w01-p1</v>
      </c>
      <c r="B195" s="8" t="s">
        <v>213</v>
      </c>
      <c r="C195" s="8" t="s">
        <v>18</v>
      </c>
      <c r="D195" s="8">
        <v>1</v>
      </c>
      <c r="E195" s="8" t="s">
        <v>19</v>
      </c>
      <c r="F195" s="8" t="str">
        <f t="shared" si="25"/>
        <v>193-w01.jpg</v>
      </c>
      <c r="G195" s="8" t="str">
        <f t="shared" si="26"/>
        <v>images/193-w01.jpg</v>
      </c>
      <c r="H195" s="8" t="str">
        <f t="shared" si="27"/>
        <v>https://scholarbo.github.io/soseki-manuscripts/images/193-w01.jpg</v>
      </c>
      <c r="I195" s="8"/>
      <c r="J195" s="8" t="str">
        <f t="shared" si="28"/>
        <v>images/193-w01.jpg</v>
      </c>
      <c r="K195" s="8"/>
      <c r="L195" s="8"/>
      <c r="M195" s="7" t="str">
        <f t="shared" si="29"/>
        <v>193 第1頁</v>
      </c>
      <c r="N195" s="7" t="str">
        <f t="shared" si="30"/>
        <v>manifest-193-w01</v>
      </c>
      <c r="O195" s="7" t="str">
        <f t="shared" si="31"/>
        <v>canvas-193-w01</v>
      </c>
      <c r="P195" s="8" t="s">
        <v>20</v>
      </c>
      <c r="Q195" s="8"/>
    </row>
    <row r="196" spans="1:17" ht="32" customHeight="1" x14ac:dyDescent="0.2">
      <c r="A196" s="7" t="str">
        <f t="shared" si="24"/>
        <v>194-w01-p1</v>
      </c>
      <c r="B196" s="8" t="s">
        <v>214</v>
      </c>
      <c r="C196" s="8" t="s">
        <v>18</v>
      </c>
      <c r="D196" s="8">
        <v>1</v>
      </c>
      <c r="E196" s="8" t="s">
        <v>19</v>
      </c>
      <c r="F196" s="8" t="str">
        <f t="shared" si="25"/>
        <v>194-w01.jpg</v>
      </c>
      <c r="G196" s="8" t="str">
        <f t="shared" si="26"/>
        <v>images/194-w01.jpg</v>
      </c>
      <c r="H196" s="8" t="str">
        <f t="shared" si="27"/>
        <v>https://scholarbo.github.io/soseki-manuscripts/images/194-w01.jpg</v>
      </c>
      <c r="I196" s="8"/>
      <c r="J196" s="8" t="str">
        <f t="shared" si="28"/>
        <v>images/194-w01.jpg</v>
      </c>
      <c r="K196" s="8"/>
      <c r="L196" s="8"/>
      <c r="M196" s="7" t="str">
        <f t="shared" si="29"/>
        <v>194 第1頁</v>
      </c>
      <c r="N196" s="7" t="str">
        <f t="shared" si="30"/>
        <v>manifest-194-w01</v>
      </c>
      <c r="O196" s="7" t="str">
        <f t="shared" si="31"/>
        <v>canvas-194-w01</v>
      </c>
      <c r="P196" s="8" t="s">
        <v>20</v>
      </c>
      <c r="Q196" s="8"/>
    </row>
    <row r="197" spans="1:17" ht="32" customHeight="1" x14ac:dyDescent="0.2">
      <c r="A197" s="7" t="str">
        <f t="shared" si="24"/>
        <v>195-w01-p1</v>
      </c>
      <c r="B197" s="8" t="s">
        <v>215</v>
      </c>
      <c r="C197" s="8" t="s">
        <v>18</v>
      </c>
      <c r="D197" s="8">
        <v>1</v>
      </c>
      <c r="E197" s="8" t="s">
        <v>19</v>
      </c>
      <c r="F197" s="8" t="str">
        <f t="shared" si="25"/>
        <v>195-w01.jpg</v>
      </c>
      <c r="G197" s="8" t="str">
        <f t="shared" si="26"/>
        <v>images/195-w01.jpg</v>
      </c>
      <c r="H197" s="8" t="str">
        <f t="shared" si="27"/>
        <v>https://scholarbo.github.io/soseki-manuscripts/images/195-w01.jpg</v>
      </c>
      <c r="I197" s="8"/>
      <c r="J197" s="8" t="str">
        <f t="shared" si="28"/>
        <v>images/195-w01.jpg</v>
      </c>
      <c r="K197" s="8"/>
      <c r="L197" s="8"/>
      <c r="M197" s="7" t="str">
        <f t="shared" si="29"/>
        <v>195 第1頁</v>
      </c>
      <c r="N197" s="7" t="str">
        <f t="shared" si="30"/>
        <v>manifest-195-w01</v>
      </c>
      <c r="O197" s="7" t="str">
        <f t="shared" si="31"/>
        <v>canvas-195-w01</v>
      </c>
      <c r="P197" s="8" t="s">
        <v>20</v>
      </c>
      <c r="Q197" s="8"/>
    </row>
    <row r="198" spans="1:17" ht="32" customHeight="1" x14ac:dyDescent="0.2">
      <c r="A198" s="7" t="str">
        <f t="shared" si="24"/>
        <v>196-w01-p1</v>
      </c>
      <c r="B198" s="8" t="s">
        <v>216</v>
      </c>
      <c r="C198" s="8" t="s">
        <v>18</v>
      </c>
      <c r="D198" s="8">
        <v>1</v>
      </c>
      <c r="E198" s="8" t="s">
        <v>19</v>
      </c>
      <c r="F198" s="8" t="str">
        <f t="shared" si="25"/>
        <v>196-w01.jpg</v>
      </c>
      <c r="G198" s="8" t="str">
        <f t="shared" si="26"/>
        <v>images/196-w01.jpg</v>
      </c>
      <c r="H198" s="8" t="str">
        <f t="shared" si="27"/>
        <v>https://scholarbo.github.io/soseki-manuscripts/images/196-w01.jpg</v>
      </c>
      <c r="I198" s="8"/>
      <c r="J198" s="8" t="str">
        <f t="shared" si="28"/>
        <v>images/196-w01.jpg</v>
      </c>
      <c r="K198" s="8"/>
      <c r="L198" s="8"/>
      <c r="M198" s="7" t="str">
        <f t="shared" si="29"/>
        <v>196 第1頁</v>
      </c>
      <c r="N198" s="7" t="str">
        <f t="shared" si="30"/>
        <v>manifest-196-w01</v>
      </c>
      <c r="O198" s="7" t="str">
        <f t="shared" si="31"/>
        <v>canvas-196-w01</v>
      </c>
      <c r="P198" s="8" t="s">
        <v>20</v>
      </c>
      <c r="Q198" s="8"/>
    </row>
    <row r="199" spans="1:17" ht="32" customHeight="1" x14ac:dyDescent="0.2">
      <c r="A199" s="7" t="str">
        <f t="shared" si="24"/>
        <v>197-w01-p1</v>
      </c>
      <c r="B199" s="8" t="s">
        <v>217</v>
      </c>
      <c r="C199" s="8" t="s">
        <v>18</v>
      </c>
      <c r="D199" s="8">
        <v>1</v>
      </c>
      <c r="E199" s="8" t="s">
        <v>19</v>
      </c>
      <c r="F199" s="8" t="str">
        <f t="shared" si="25"/>
        <v>197-w01.jpg</v>
      </c>
      <c r="G199" s="8" t="str">
        <f t="shared" si="26"/>
        <v>images/197-w01.jpg</v>
      </c>
      <c r="H199" s="8" t="str">
        <f t="shared" si="27"/>
        <v>https://scholarbo.github.io/soseki-manuscripts/images/197-w01.jpg</v>
      </c>
      <c r="I199" s="8"/>
      <c r="J199" s="8" t="str">
        <f t="shared" si="28"/>
        <v>images/197-w01.jpg</v>
      </c>
      <c r="K199" s="8"/>
      <c r="L199" s="8"/>
      <c r="M199" s="7" t="str">
        <f t="shared" si="29"/>
        <v>197 第1頁</v>
      </c>
      <c r="N199" s="7" t="str">
        <f t="shared" si="30"/>
        <v>manifest-197-w01</v>
      </c>
      <c r="O199" s="7" t="str">
        <f t="shared" si="31"/>
        <v>canvas-197-w01</v>
      </c>
      <c r="P199" s="8" t="s">
        <v>20</v>
      </c>
      <c r="Q199" s="8"/>
    </row>
    <row r="200" spans="1:17" ht="32" customHeight="1" x14ac:dyDescent="0.2">
      <c r="A200" s="7" t="str">
        <f t="shared" si="24"/>
        <v>198-w01-p1</v>
      </c>
      <c r="B200" s="8" t="s">
        <v>218</v>
      </c>
      <c r="C200" s="8" t="s">
        <v>18</v>
      </c>
      <c r="D200" s="8">
        <v>1</v>
      </c>
      <c r="E200" s="8" t="s">
        <v>19</v>
      </c>
      <c r="F200" s="8" t="str">
        <f t="shared" si="25"/>
        <v>198-w01.jpg</v>
      </c>
      <c r="G200" s="8" t="str">
        <f t="shared" si="26"/>
        <v>images/198-w01.jpg</v>
      </c>
      <c r="H200" s="8" t="str">
        <f t="shared" si="27"/>
        <v>https://scholarbo.github.io/soseki-manuscripts/images/198-w01.jpg</v>
      </c>
      <c r="I200" s="8"/>
      <c r="J200" s="8" t="str">
        <f t="shared" si="28"/>
        <v>images/198-w01.jpg</v>
      </c>
      <c r="K200" s="8"/>
      <c r="L200" s="8"/>
      <c r="M200" s="7" t="str">
        <f t="shared" si="29"/>
        <v>198 第1頁</v>
      </c>
      <c r="N200" s="7" t="str">
        <f t="shared" si="30"/>
        <v>manifest-198-w01</v>
      </c>
      <c r="O200" s="7" t="str">
        <f t="shared" si="31"/>
        <v>canvas-198-w01</v>
      </c>
      <c r="P200" s="8" t="s">
        <v>20</v>
      </c>
      <c r="Q200" s="8"/>
    </row>
    <row r="201" spans="1:17" ht="32" customHeight="1" x14ac:dyDescent="0.2">
      <c r="A201" s="7" t="str">
        <f t="shared" si="24"/>
        <v>199-w01-p1</v>
      </c>
      <c r="B201" s="8" t="s">
        <v>219</v>
      </c>
      <c r="C201" s="8" t="s">
        <v>18</v>
      </c>
      <c r="D201" s="8">
        <v>1</v>
      </c>
      <c r="E201" s="8" t="s">
        <v>19</v>
      </c>
      <c r="F201" s="8" t="str">
        <f t="shared" si="25"/>
        <v>199-w01.jpg</v>
      </c>
      <c r="G201" s="8" t="str">
        <f t="shared" si="26"/>
        <v>images/199-w01.jpg</v>
      </c>
      <c r="H201" s="8" t="str">
        <f t="shared" si="27"/>
        <v>https://scholarbo.github.io/soseki-manuscripts/images/199-w01.jpg</v>
      </c>
      <c r="I201" s="8"/>
      <c r="J201" s="8" t="str">
        <f t="shared" si="28"/>
        <v>images/199-w01.jpg</v>
      </c>
      <c r="K201" s="8"/>
      <c r="L201" s="8"/>
      <c r="M201" s="7" t="str">
        <f t="shared" si="29"/>
        <v>199 第1頁</v>
      </c>
      <c r="N201" s="7" t="str">
        <f t="shared" si="30"/>
        <v>manifest-199-w01</v>
      </c>
      <c r="O201" s="7" t="str">
        <f t="shared" si="31"/>
        <v>canvas-199-w01</v>
      </c>
      <c r="P201" s="8" t="s">
        <v>20</v>
      </c>
      <c r="Q201" s="8"/>
    </row>
    <row r="202" spans="1:17" ht="32" customHeight="1" x14ac:dyDescent="0.2">
      <c r="A202" s="7" t="str">
        <f t="shared" si="24"/>
        <v>200-w01-p1</v>
      </c>
      <c r="B202" s="8" t="s">
        <v>220</v>
      </c>
      <c r="C202" s="8" t="s">
        <v>18</v>
      </c>
      <c r="D202" s="8">
        <v>1</v>
      </c>
      <c r="E202" s="8" t="s">
        <v>19</v>
      </c>
      <c r="F202" s="8" t="str">
        <f t="shared" si="25"/>
        <v>200-w01.jpg</v>
      </c>
      <c r="G202" s="8" t="str">
        <f t="shared" si="26"/>
        <v>images/200-w01.jpg</v>
      </c>
      <c r="H202" s="8" t="str">
        <f t="shared" si="27"/>
        <v>https://scholarbo.github.io/soseki-manuscripts/images/200-w01.jpg</v>
      </c>
      <c r="I202" s="8"/>
      <c r="J202" s="8" t="str">
        <f t="shared" si="28"/>
        <v>images/200-w01.jpg</v>
      </c>
      <c r="K202" s="8"/>
      <c r="L202" s="8"/>
      <c r="M202" s="7" t="str">
        <f t="shared" si="29"/>
        <v>200 第1頁</v>
      </c>
      <c r="N202" s="7" t="str">
        <f t="shared" si="30"/>
        <v>manifest-200-w01</v>
      </c>
      <c r="O202" s="7" t="str">
        <f t="shared" si="31"/>
        <v>canvas-200-w01</v>
      </c>
      <c r="P202" s="8" t="s">
        <v>20</v>
      </c>
      <c r="Q202" s="8"/>
    </row>
    <row r="203" spans="1:17" ht="32" customHeight="1" x14ac:dyDescent="0.2">
      <c r="A203" s="7" t="str">
        <f t="shared" si="24"/>
        <v>201-w01-p1</v>
      </c>
      <c r="B203" s="8" t="s">
        <v>221</v>
      </c>
      <c r="C203" s="8" t="s">
        <v>18</v>
      </c>
      <c r="D203" s="8">
        <v>1</v>
      </c>
      <c r="E203" s="8" t="s">
        <v>19</v>
      </c>
      <c r="F203" s="8" t="str">
        <f t="shared" si="25"/>
        <v>201-w01.jpg</v>
      </c>
      <c r="G203" s="8" t="str">
        <f t="shared" si="26"/>
        <v>images/201-w01.jpg</v>
      </c>
      <c r="H203" s="8" t="str">
        <f t="shared" si="27"/>
        <v>https://scholarbo.github.io/soseki-manuscripts/images/201-w01.jpg</v>
      </c>
      <c r="I203" s="8"/>
      <c r="J203" s="8" t="str">
        <f t="shared" si="28"/>
        <v>images/201-w01.jpg</v>
      </c>
      <c r="K203" s="8"/>
      <c r="L203" s="8"/>
      <c r="M203" s="7" t="str">
        <f t="shared" si="29"/>
        <v>201 第1頁</v>
      </c>
      <c r="N203" s="7" t="str">
        <f t="shared" si="30"/>
        <v>manifest-201-w01</v>
      </c>
      <c r="O203" s="7" t="str">
        <f t="shared" si="31"/>
        <v>canvas-201-w01</v>
      </c>
      <c r="P203" s="8" t="s">
        <v>20</v>
      </c>
      <c r="Q203" s="8"/>
    </row>
    <row r="204" spans="1:17" ht="32" customHeight="1" x14ac:dyDescent="0.2">
      <c r="A204" s="7" t="str">
        <f t="shared" si="24"/>
        <v>202-w01-p1</v>
      </c>
      <c r="B204" s="8" t="s">
        <v>222</v>
      </c>
      <c r="C204" s="8" t="s">
        <v>18</v>
      </c>
      <c r="D204" s="8">
        <v>1</v>
      </c>
      <c r="E204" s="8" t="s">
        <v>19</v>
      </c>
      <c r="F204" s="8" t="str">
        <f t="shared" si="25"/>
        <v>202-w01.jpg</v>
      </c>
      <c r="G204" s="8" t="str">
        <f t="shared" si="26"/>
        <v>images/202-w01.jpg</v>
      </c>
      <c r="H204" s="8" t="str">
        <f t="shared" si="27"/>
        <v>https://scholarbo.github.io/soseki-manuscripts/images/202-w01.jpg</v>
      </c>
      <c r="I204" s="8"/>
      <c r="J204" s="8" t="str">
        <f t="shared" si="28"/>
        <v>images/202-w01.jpg</v>
      </c>
      <c r="K204" s="8"/>
      <c r="L204" s="8"/>
      <c r="M204" s="7" t="str">
        <f t="shared" si="29"/>
        <v>202 第1頁</v>
      </c>
      <c r="N204" s="7" t="str">
        <f t="shared" si="30"/>
        <v>manifest-202-w01</v>
      </c>
      <c r="O204" s="7" t="str">
        <f t="shared" si="31"/>
        <v>canvas-202-w01</v>
      </c>
      <c r="P204" s="8" t="s">
        <v>20</v>
      </c>
      <c r="Q204" s="8"/>
    </row>
    <row r="205" spans="1:17" ht="32" customHeight="1" x14ac:dyDescent="0.2">
      <c r="A205" s="7" t="str">
        <f t="shared" si="24"/>
        <v>203-w01-p1</v>
      </c>
      <c r="B205" s="8" t="s">
        <v>223</v>
      </c>
      <c r="C205" s="8" t="s">
        <v>18</v>
      </c>
      <c r="D205" s="8">
        <v>1</v>
      </c>
      <c r="E205" s="8" t="s">
        <v>19</v>
      </c>
      <c r="F205" s="8" t="str">
        <f t="shared" si="25"/>
        <v>203-w01.jpg</v>
      </c>
      <c r="G205" s="8" t="str">
        <f t="shared" si="26"/>
        <v>images/203-w01.jpg</v>
      </c>
      <c r="H205" s="8" t="str">
        <f t="shared" si="27"/>
        <v>https://scholarbo.github.io/soseki-manuscripts/images/203-w01.jpg</v>
      </c>
      <c r="I205" s="8"/>
      <c r="J205" s="8" t="str">
        <f t="shared" si="28"/>
        <v>images/203-w01.jpg</v>
      </c>
      <c r="K205" s="8"/>
      <c r="L205" s="8"/>
      <c r="M205" s="7" t="str">
        <f t="shared" si="29"/>
        <v>203 第1頁</v>
      </c>
      <c r="N205" s="7" t="str">
        <f t="shared" si="30"/>
        <v>manifest-203-w01</v>
      </c>
      <c r="O205" s="7" t="str">
        <f t="shared" si="31"/>
        <v>canvas-203-w01</v>
      </c>
      <c r="P205" s="8" t="s">
        <v>20</v>
      </c>
      <c r="Q205" s="8"/>
    </row>
    <row r="206" spans="1:17" ht="64" customHeight="1" x14ac:dyDescent="0.2">
      <c r="A206" s="7" t="str">
        <f t="shared" si="24"/>
        <v>204-w01-p1</v>
      </c>
      <c r="B206" s="8" t="s">
        <v>224</v>
      </c>
      <c r="C206" s="8" t="s">
        <v>18</v>
      </c>
      <c r="D206" s="8">
        <v>1</v>
      </c>
      <c r="E206" s="8" t="s">
        <v>19</v>
      </c>
      <c r="F206" s="8" t="str">
        <f t="shared" si="25"/>
        <v>204-w01.jpg</v>
      </c>
      <c r="G206" s="8" t="str">
        <f t="shared" si="26"/>
        <v>images/204-w01.jpg</v>
      </c>
      <c r="H206" s="8" t="str">
        <f t="shared" si="27"/>
        <v>https://scholarbo.github.io/soseki-manuscripts/images/204-w01.jpg</v>
      </c>
      <c r="I206" s="8"/>
      <c r="J206" s="8" t="str">
        <f t="shared" si="28"/>
        <v>images/204-w01.jpg</v>
      </c>
      <c r="K206" s="8"/>
      <c r="L206" s="8"/>
      <c r="M206" s="7" t="str">
        <f t="shared" si="29"/>
        <v>204 第1頁</v>
      </c>
      <c r="N206" s="7" t="str">
        <f t="shared" si="30"/>
        <v>manifest-204-w01</v>
      </c>
      <c r="O206" s="7" t="str">
        <f t="shared" si="31"/>
        <v>canvas-204-w01</v>
      </c>
      <c r="P206" s="8" t="s">
        <v>20</v>
      </c>
      <c r="Q206" s="8"/>
    </row>
    <row r="207" spans="1:17" ht="80" customHeight="1" x14ac:dyDescent="0.2">
      <c r="A207" s="7" t="str">
        <f t="shared" si="24"/>
        <v>205-w01-p1</v>
      </c>
      <c r="B207" s="8" t="s">
        <v>225</v>
      </c>
      <c r="C207" s="8" t="s">
        <v>18</v>
      </c>
      <c r="D207" s="8">
        <v>1</v>
      </c>
      <c r="E207" s="8" t="s">
        <v>19</v>
      </c>
      <c r="F207" s="8" t="str">
        <f t="shared" si="25"/>
        <v>205-w01.jpg</v>
      </c>
      <c r="G207" s="8" t="str">
        <f t="shared" si="26"/>
        <v>images/205-w01.jpg</v>
      </c>
      <c r="H207" s="8" t="str">
        <f t="shared" si="27"/>
        <v>https://scholarbo.github.io/soseki-manuscripts/images/205-w01.jpg</v>
      </c>
      <c r="I207" s="8"/>
      <c r="J207" s="8" t="str">
        <f t="shared" si="28"/>
        <v>images/205-w01.jpg</v>
      </c>
      <c r="K207" s="8"/>
      <c r="L207" s="8"/>
      <c r="M207" s="7" t="str">
        <f t="shared" si="29"/>
        <v>205 第1頁</v>
      </c>
      <c r="N207" s="7" t="str">
        <f t="shared" si="30"/>
        <v>manifest-205-w01</v>
      </c>
      <c r="O207" s="7" t="str">
        <f t="shared" si="31"/>
        <v>canvas-205-w01</v>
      </c>
      <c r="P207" s="8" t="s">
        <v>20</v>
      </c>
      <c r="Q207" s="8"/>
    </row>
    <row r="208" spans="1:17" ht="32" customHeight="1" x14ac:dyDescent="0.2">
      <c r="A208" s="7" t="str">
        <f t="shared" si="24"/>
        <v>206-w01-p1</v>
      </c>
      <c r="B208" s="8" t="s">
        <v>226</v>
      </c>
      <c r="C208" s="8" t="s">
        <v>18</v>
      </c>
      <c r="D208" s="8">
        <v>1</v>
      </c>
      <c r="E208" s="8" t="s">
        <v>19</v>
      </c>
      <c r="F208" s="8" t="str">
        <f t="shared" si="25"/>
        <v>206-w01.jpg</v>
      </c>
      <c r="G208" s="8" t="str">
        <f t="shared" si="26"/>
        <v>images/206-w01.jpg</v>
      </c>
      <c r="H208" s="8" t="str">
        <f t="shared" si="27"/>
        <v>https://scholarbo.github.io/soseki-manuscripts/images/206-w01.jpg</v>
      </c>
      <c r="I208" s="8"/>
      <c r="J208" s="8" t="str">
        <f t="shared" si="28"/>
        <v>images/206-w01.jpg</v>
      </c>
      <c r="K208" s="8"/>
      <c r="L208" s="8"/>
      <c r="M208" s="7" t="str">
        <f t="shared" si="29"/>
        <v>206 第1頁</v>
      </c>
      <c r="N208" s="7" t="str">
        <f t="shared" si="30"/>
        <v>manifest-206-w01</v>
      </c>
      <c r="O208" s="7" t="str">
        <f t="shared" si="31"/>
        <v>canvas-206-w01</v>
      </c>
      <c r="P208" s="8" t="s">
        <v>20</v>
      </c>
      <c r="Q208" s="8"/>
    </row>
    <row r="209" spans="1:17" ht="32" customHeight="1" x14ac:dyDescent="0.2">
      <c r="A209" s="7" t="str">
        <f t="shared" si="24"/>
        <v>207-w01-p1</v>
      </c>
      <c r="B209" s="8" t="s">
        <v>227</v>
      </c>
      <c r="C209" s="8" t="s">
        <v>18</v>
      </c>
      <c r="D209" s="8">
        <v>1</v>
      </c>
      <c r="E209" s="8" t="s">
        <v>19</v>
      </c>
      <c r="F209" s="8" t="str">
        <f t="shared" si="25"/>
        <v>207-w01.jpg</v>
      </c>
      <c r="G209" s="8" t="str">
        <f t="shared" si="26"/>
        <v>images/207-w01.jpg</v>
      </c>
      <c r="H209" s="8" t="str">
        <f t="shared" si="27"/>
        <v>https://scholarbo.github.io/soseki-manuscripts/images/207-w01.jpg</v>
      </c>
      <c r="I209" s="8"/>
      <c r="J209" s="8" t="str">
        <f t="shared" si="28"/>
        <v>images/207-w01.jpg</v>
      </c>
      <c r="K209" s="8"/>
      <c r="L209" s="8"/>
      <c r="M209" s="7" t="str">
        <f t="shared" si="29"/>
        <v>207 第1頁</v>
      </c>
      <c r="N209" s="7" t="str">
        <f t="shared" si="30"/>
        <v>manifest-207-w01</v>
      </c>
      <c r="O209" s="7" t="str">
        <f t="shared" si="31"/>
        <v>canvas-207-w01</v>
      </c>
      <c r="P209" s="8" t="s">
        <v>20</v>
      </c>
      <c r="Q209" s="8"/>
    </row>
    <row r="210" spans="1:17" ht="32" customHeight="1" x14ac:dyDescent="0.2">
      <c r="A210" s="7" t="str">
        <f t="shared" si="24"/>
        <v>208-w01-p1</v>
      </c>
      <c r="B210" s="8" t="s">
        <v>228</v>
      </c>
      <c r="C210" s="8" t="s">
        <v>18</v>
      </c>
      <c r="D210" s="8">
        <v>1</v>
      </c>
      <c r="E210" s="8" t="s">
        <v>19</v>
      </c>
      <c r="F210" s="8" t="str">
        <f t="shared" si="25"/>
        <v>208-w01.jpg</v>
      </c>
      <c r="G210" s="8" t="str">
        <f t="shared" si="26"/>
        <v>images/208-w01.jpg</v>
      </c>
      <c r="H210" s="8" t="str">
        <f t="shared" si="27"/>
        <v>https://scholarbo.github.io/soseki-manuscripts/images/208-w01.jpg</v>
      </c>
      <c r="I210" s="8"/>
      <c r="J210" s="8" t="str">
        <f t="shared" si="28"/>
        <v>images/208-w01.jpg</v>
      </c>
      <c r="K210" s="8"/>
      <c r="L210" s="8"/>
      <c r="M210" s="7" t="str">
        <f t="shared" si="29"/>
        <v>208 第1頁</v>
      </c>
      <c r="N210" s="7" t="str">
        <f t="shared" si="30"/>
        <v>manifest-208-w01</v>
      </c>
      <c r="O210" s="7" t="str">
        <f t="shared" si="31"/>
        <v>canvas-208-w01</v>
      </c>
      <c r="P210" s="8" t="s">
        <v>20</v>
      </c>
      <c r="Q210" s="8"/>
    </row>
    <row r="211" spans="1:17" ht="16" customHeight="1" x14ac:dyDescent="0.2">
      <c r="A211" s="7" t="str">
        <f t="shared" si="24"/>
        <v>209-w01-p1</v>
      </c>
      <c r="B211" s="8" t="s">
        <v>229</v>
      </c>
      <c r="C211" s="8" t="s">
        <v>18</v>
      </c>
      <c r="D211" s="8">
        <v>1</v>
      </c>
      <c r="E211" s="8" t="s">
        <v>230</v>
      </c>
      <c r="F211" s="8" t="str">
        <f t="shared" si="25"/>
        <v>209-w01.jpg</v>
      </c>
      <c r="G211" s="8" t="str">
        <f t="shared" si="26"/>
        <v>images/209-w01.jpg</v>
      </c>
      <c r="H211" s="8" t="str">
        <f t="shared" si="27"/>
        <v>https://scholarbo.github.io/soseki-manuscripts/images/209-w01.jpg</v>
      </c>
      <c r="I211" s="8"/>
      <c r="J211" s="8" t="str">
        <f t="shared" si="28"/>
        <v/>
      </c>
      <c r="K211" s="8"/>
      <c r="L211" s="8"/>
      <c r="M211" s="7" t="str">
        <f t="shared" si="29"/>
        <v>209 第1頁</v>
      </c>
      <c r="N211" s="7" t="str">
        <f t="shared" si="30"/>
        <v>manifest-209-w01</v>
      </c>
      <c r="O211" s="7" t="str">
        <f t="shared" si="31"/>
        <v>canvas-209-w01</v>
      </c>
      <c r="P211" s="8" t="s">
        <v>231</v>
      </c>
      <c r="Q211" s="8"/>
    </row>
    <row r="212" spans="1:17" ht="16" customHeight="1" x14ac:dyDescent="0.2">
      <c r="A212" s="7" t="str">
        <f t="shared" si="24"/>
        <v>210-w01-p1</v>
      </c>
      <c r="B212" s="8" t="s">
        <v>232</v>
      </c>
      <c r="C212" s="8" t="s">
        <v>18</v>
      </c>
      <c r="D212" s="8">
        <v>1</v>
      </c>
      <c r="E212" s="8" t="s">
        <v>230</v>
      </c>
      <c r="F212" s="8" t="str">
        <f t="shared" si="25"/>
        <v>210-w01.jpg</v>
      </c>
      <c r="G212" s="8" t="str">
        <f t="shared" si="26"/>
        <v>images/210-w01.jpg</v>
      </c>
      <c r="H212" s="8" t="str">
        <f t="shared" si="27"/>
        <v>https://scholarbo.github.io/soseki-manuscripts/images/210-w01.jpg</v>
      </c>
      <c r="I212" s="8"/>
      <c r="J212" s="8" t="str">
        <f t="shared" si="28"/>
        <v/>
      </c>
      <c r="K212" s="8"/>
      <c r="L212" s="8"/>
      <c r="M212" s="7" t="str">
        <f t="shared" si="29"/>
        <v>210 第1頁</v>
      </c>
      <c r="N212" s="7" t="str">
        <f t="shared" si="30"/>
        <v>manifest-210-w01</v>
      </c>
      <c r="O212" s="7" t="str">
        <f t="shared" si="31"/>
        <v>canvas-210-w01</v>
      </c>
      <c r="P212" s="8" t="s">
        <v>231</v>
      </c>
      <c r="Q212" s="8"/>
    </row>
    <row r="213" spans="1:17" ht="16" customHeight="1" x14ac:dyDescent="0.2">
      <c r="A213" s="7" t="str">
        <f t="shared" si="24"/>
        <v>211-w01-p1</v>
      </c>
      <c r="B213" s="8" t="s">
        <v>233</v>
      </c>
      <c r="C213" s="8" t="s">
        <v>18</v>
      </c>
      <c r="D213" s="8">
        <v>1</v>
      </c>
      <c r="E213" s="8" t="s">
        <v>230</v>
      </c>
      <c r="F213" s="8" t="str">
        <f t="shared" si="25"/>
        <v>211-w01.jpg</v>
      </c>
      <c r="G213" s="8" t="str">
        <f t="shared" si="26"/>
        <v>images/211-w01.jpg</v>
      </c>
      <c r="H213" s="8" t="str">
        <f t="shared" si="27"/>
        <v>https://scholarbo.github.io/soseki-manuscripts/images/211-w01.jpg</v>
      </c>
      <c r="I213" s="8"/>
      <c r="J213" s="8" t="str">
        <f t="shared" si="28"/>
        <v/>
      </c>
      <c r="K213" s="8"/>
      <c r="L213" s="8"/>
      <c r="M213" s="7" t="str">
        <f t="shared" si="29"/>
        <v>211 第1頁</v>
      </c>
      <c r="N213" s="7" t="str">
        <f t="shared" si="30"/>
        <v>manifest-211-w01</v>
      </c>
      <c r="O213" s="7" t="str">
        <f t="shared" si="31"/>
        <v>canvas-211-w01</v>
      </c>
      <c r="P213" s="8" t="s">
        <v>231</v>
      </c>
      <c r="Q213" s="8"/>
    </row>
    <row r="214" spans="1:17" ht="16" customHeight="1" x14ac:dyDescent="0.2">
      <c r="A214" s="7" t="str">
        <f t="shared" si="24"/>
        <v>212-w01-p1</v>
      </c>
      <c r="B214" s="8" t="s">
        <v>234</v>
      </c>
      <c r="C214" s="8" t="s">
        <v>18</v>
      </c>
      <c r="D214" s="8">
        <v>1</v>
      </c>
      <c r="E214" s="8" t="s">
        <v>230</v>
      </c>
      <c r="F214" s="8" t="str">
        <f t="shared" si="25"/>
        <v>212-w01.jpg</v>
      </c>
      <c r="G214" s="8" t="str">
        <f t="shared" si="26"/>
        <v>images/212-w01.jpg</v>
      </c>
      <c r="H214" s="8" t="str">
        <f t="shared" si="27"/>
        <v>https://scholarbo.github.io/soseki-manuscripts/images/212-w01.jpg</v>
      </c>
      <c r="I214" s="8"/>
      <c r="J214" s="8" t="str">
        <f t="shared" si="28"/>
        <v/>
      </c>
      <c r="K214" s="8"/>
      <c r="L214" s="8"/>
      <c r="M214" s="7" t="str">
        <f t="shared" si="29"/>
        <v>212 第1頁</v>
      </c>
      <c r="N214" s="7" t="str">
        <f t="shared" si="30"/>
        <v>manifest-212-w01</v>
      </c>
      <c r="O214" s="7" t="str">
        <f t="shared" si="31"/>
        <v>canvas-212-w01</v>
      </c>
      <c r="P214" s="8" t="s">
        <v>231</v>
      </c>
      <c r="Q214" s="8"/>
    </row>
    <row r="215" spans="1:17" ht="16" customHeight="1" x14ac:dyDescent="0.2">
      <c r="A215" s="7" t="str">
        <f t="shared" si="24"/>
        <v>213-w01-p1</v>
      </c>
      <c r="B215" s="8" t="s">
        <v>235</v>
      </c>
      <c r="C215" s="8" t="s">
        <v>18</v>
      </c>
      <c r="D215" s="8">
        <v>1</v>
      </c>
      <c r="E215" s="8" t="s">
        <v>230</v>
      </c>
      <c r="F215" s="8" t="str">
        <f t="shared" si="25"/>
        <v>213-w01.jpg</v>
      </c>
      <c r="G215" s="8" t="str">
        <f t="shared" si="26"/>
        <v>images/213-w01.jpg</v>
      </c>
      <c r="H215" s="8" t="str">
        <f t="shared" si="27"/>
        <v>https://scholarbo.github.io/soseki-manuscripts/images/213-w01.jpg</v>
      </c>
      <c r="I215" s="8"/>
      <c r="J215" s="8" t="str">
        <f t="shared" si="28"/>
        <v/>
      </c>
      <c r="K215" s="8"/>
      <c r="L215" s="8"/>
      <c r="M215" s="7" t="str">
        <f t="shared" si="29"/>
        <v>213 第1頁</v>
      </c>
      <c r="N215" s="7" t="str">
        <f t="shared" si="30"/>
        <v>manifest-213-w01</v>
      </c>
      <c r="O215" s="7" t="str">
        <f t="shared" si="31"/>
        <v>canvas-213-w01</v>
      </c>
      <c r="P215" s="8" t="s">
        <v>231</v>
      </c>
      <c r="Q215" s="8"/>
    </row>
    <row r="216" spans="1:17" ht="16" customHeight="1" x14ac:dyDescent="0.2">
      <c r="A216" s="7" t="str">
        <f t="shared" si="24"/>
        <v>214-w01-p1</v>
      </c>
      <c r="B216" s="8" t="s">
        <v>236</v>
      </c>
      <c r="C216" s="8" t="s">
        <v>18</v>
      </c>
      <c r="D216" s="8">
        <v>1</v>
      </c>
      <c r="E216" s="8" t="s">
        <v>230</v>
      </c>
      <c r="F216" s="8" t="str">
        <f t="shared" si="25"/>
        <v>214-w01.jpg</v>
      </c>
      <c r="G216" s="8" t="str">
        <f t="shared" si="26"/>
        <v>images/214-w01.jpg</v>
      </c>
      <c r="H216" s="8" t="str">
        <f t="shared" si="27"/>
        <v>https://scholarbo.github.io/soseki-manuscripts/images/214-w01.jpg</v>
      </c>
      <c r="I216" s="8"/>
      <c r="J216" s="8" t="str">
        <f t="shared" si="28"/>
        <v/>
      </c>
      <c r="K216" s="8"/>
      <c r="L216" s="8"/>
      <c r="M216" s="7" t="str">
        <f t="shared" si="29"/>
        <v>214 第1頁</v>
      </c>
      <c r="N216" s="7" t="str">
        <f t="shared" si="30"/>
        <v>manifest-214-w01</v>
      </c>
      <c r="O216" s="7" t="str">
        <f t="shared" si="31"/>
        <v>canvas-214-w01</v>
      </c>
      <c r="P216" s="8" t="s">
        <v>231</v>
      </c>
      <c r="Q216" s="8"/>
    </row>
    <row r="217" spans="1:17" ht="16" customHeight="1" x14ac:dyDescent="0.2">
      <c r="A217" s="7" t="str">
        <f t="shared" si="24"/>
        <v>215-w01-p1</v>
      </c>
      <c r="B217" s="8" t="s">
        <v>237</v>
      </c>
      <c r="C217" s="8" t="s">
        <v>18</v>
      </c>
      <c r="D217" s="8">
        <v>1</v>
      </c>
      <c r="E217" s="8" t="s">
        <v>230</v>
      </c>
      <c r="F217" s="8" t="str">
        <f t="shared" si="25"/>
        <v>215-w01.jpg</v>
      </c>
      <c r="G217" s="8" t="str">
        <f t="shared" si="26"/>
        <v>images/215-w01.jpg</v>
      </c>
      <c r="H217" s="8" t="str">
        <f t="shared" si="27"/>
        <v>https://scholarbo.github.io/soseki-manuscripts/images/215-w01.jpg</v>
      </c>
      <c r="I217" s="8"/>
      <c r="J217" s="8" t="str">
        <f t="shared" si="28"/>
        <v/>
      </c>
      <c r="K217" s="8"/>
      <c r="L217" s="8"/>
      <c r="M217" s="7" t="str">
        <f t="shared" si="29"/>
        <v>215 第1頁</v>
      </c>
      <c r="N217" s="7" t="str">
        <f t="shared" si="30"/>
        <v>manifest-215-w01</v>
      </c>
      <c r="O217" s="7" t="str">
        <f t="shared" si="31"/>
        <v>canvas-215-w01</v>
      </c>
      <c r="P217" s="8" t="s">
        <v>231</v>
      </c>
      <c r="Q217" s="8"/>
    </row>
    <row r="218" spans="1:17" ht="16" customHeight="1" x14ac:dyDescent="0.2">
      <c r="A218" s="7" t="str">
        <f t="shared" si="24"/>
        <v>216-w01-p1</v>
      </c>
      <c r="B218" s="8" t="s">
        <v>238</v>
      </c>
      <c r="C218" s="8" t="s">
        <v>18</v>
      </c>
      <c r="D218" s="8">
        <v>1</v>
      </c>
      <c r="E218" s="8" t="s">
        <v>230</v>
      </c>
      <c r="F218" s="8" t="str">
        <f t="shared" si="25"/>
        <v>216-w01.jpg</v>
      </c>
      <c r="G218" s="8" t="str">
        <f t="shared" si="26"/>
        <v>images/216-w01.jpg</v>
      </c>
      <c r="H218" s="8" t="str">
        <f t="shared" si="27"/>
        <v>https://scholarbo.github.io/soseki-manuscripts/images/216-w01.jpg</v>
      </c>
      <c r="I218" s="8"/>
      <c r="J218" s="8" t="str">
        <f t="shared" si="28"/>
        <v/>
      </c>
      <c r="K218" s="8"/>
      <c r="L218" s="8"/>
      <c r="M218" s="7" t="str">
        <f t="shared" si="29"/>
        <v>216 第1頁</v>
      </c>
      <c r="N218" s="7" t="str">
        <f t="shared" si="30"/>
        <v>manifest-216-w01</v>
      </c>
      <c r="O218" s="7" t="str">
        <f t="shared" si="31"/>
        <v>canvas-216-w01</v>
      </c>
      <c r="P218" s="8" t="s">
        <v>231</v>
      </c>
      <c r="Q218" s="8"/>
    </row>
    <row r="219" spans="1:17" ht="16" customHeight="1" x14ac:dyDescent="0.2">
      <c r="A219" s="7" t="str">
        <f t="shared" si="24"/>
        <v/>
      </c>
      <c r="B219" s="8"/>
      <c r="C219" s="8"/>
      <c r="D219" s="8"/>
      <c r="E219" s="8"/>
      <c r="F219" s="8" t="str">
        <f t="shared" si="25"/>
        <v/>
      </c>
      <c r="G219" s="8" t="str">
        <f t="shared" si="26"/>
        <v/>
      </c>
      <c r="H219" s="8" t="str">
        <f t="shared" si="27"/>
        <v/>
      </c>
      <c r="I219" s="8"/>
      <c r="J219" s="8" t="str">
        <f t="shared" si="28"/>
        <v/>
      </c>
      <c r="K219" s="8"/>
      <c r="L219" s="8"/>
      <c r="M219" s="7" t="str">
        <f t="shared" si="29"/>
        <v/>
      </c>
      <c r="N219" s="7" t="str">
        <f t="shared" si="30"/>
        <v/>
      </c>
      <c r="O219" s="7" t="str">
        <f t="shared" si="31"/>
        <v/>
      </c>
      <c r="P219" s="8"/>
      <c r="Q219" s="8"/>
    </row>
    <row r="220" spans="1:17" ht="16" customHeight="1" x14ac:dyDescent="0.2">
      <c r="A220" s="7" t="str">
        <f t="shared" si="24"/>
        <v/>
      </c>
      <c r="B220" s="8"/>
      <c r="C220" s="8"/>
      <c r="D220" s="8"/>
      <c r="E220" s="8"/>
      <c r="F220" s="8" t="str">
        <f t="shared" si="25"/>
        <v/>
      </c>
      <c r="G220" s="8" t="str">
        <f t="shared" si="26"/>
        <v/>
      </c>
      <c r="H220" s="8" t="str">
        <f t="shared" si="27"/>
        <v/>
      </c>
      <c r="I220" s="8"/>
      <c r="J220" s="8" t="str">
        <f t="shared" si="28"/>
        <v/>
      </c>
      <c r="K220" s="8"/>
      <c r="L220" s="8"/>
      <c r="M220" s="7" t="str">
        <f t="shared" si="29"/>
        <v/>
      </c>
      <c r="N220" s="7" t="str">
        <f t="shared" si="30"/>
        <v/>
      </c>
      <c r="O220" s="7" t="str">
        <f t="shared" si="31"/>
        <v/>
      </c>
      <c r="P220" s="8"/>
      <c r="Q220" s="8"/>
    </row>
    <row r="221" spans="1:17" ht="16" customHeight="1" x14ac:dyDescent="0.2">
      <c r="A221" s="7" t="str">
        <f t="shared" si="24"/>
        <v/>
      </c>
      <c r="B221" s="8"/>
      <c r="C221" s="8"/>
      <c r="D221" s="8"/>
      <c r="E221" s="8"/>
      <c r="F221" s="8" t="str">
        <f t="shared" si="25"/>
        <v/>
      </c>
      <c r="G221" s="8" t="str">
        <f t="shared" si="26"/>
        <v/>
      </c>
      <c r="H221" s="8" t="str">
        <f t="shared" si="27"/>
        <v/>
      </c>
      <c r="I221" s="8"/>
      <c r="J221" s="8" t="str">
        <f t="shared" si="28"/>
        <v/>
      </c>
      <c r="K221" s="8"/>
      <c r="L221" s="8"/>
      <c r="M221" s="7" t="str">
        <f t="shared" si="29"/>
        <v/>
      </c>
      <c r="N221" s="7" t="str">
        <f t="shared" si="30"/>
        <v/>
      </c>
      <c r="O221" s="7" t="str">
        <f t="shared" si="31"/>
        <v/>
      </c>
      <c r="P221" s="8"/>
      <c r="Q221" s="8"/>
    </row>
    <row r="222" spans="1:17" ht="16" customHeight="1" x14ac:dyDescent="0.2">
      <c r="A222" s="7" t="str">
        <f t="shared" si="24"/>
        <v/>
      </c>
      <c r="B222" s="8"/>
      <c r="C222" s="8"/>
      <c r="D222" s="8"/>
      <c r="E222" s="8"/>
      <c r="F222" s="8" t="str">
        <f t="shared" si="25"/>
        <v/>
      </c>
      <c r="G222" s="8" t="str">
        <f t="shared" si="26"/>
        <v/>
      </c>
      <c r="H222" s="8" t="str">
        <f t="shared" si="27"/>
        <v/>
      </c>
      <c r="I222" s="8"/>
      <c r="J222" s="8" t="str">
        <f t="shared" si="28"/>
        <v/>
      </c>
      <c r="K222" s="8"/>
      <c r="L222" s="8"/>
      <c r="M222" s="7" t="str">
        <f t="shared" si="29"/>
        <v/>
      </c>
      <c r="N222" s="7" t="str">
        <f t="shared" si="30"/>
        <v/>
      </c>
      <c r="O222" s="7" t="str">
        <f t="shared" si="31"/>
        <v/>
      </c>
      <c r="P222" s="8"/>
      <c r="Q222" s="8"/>
    </row>
    <row r="223" spans="1:17" ht="16" customHeight="1" x14ac:dyDescent="0.2">
      <c r="A223" s="7" t="str">
        <f t="shared" si="24"/>
        <v/>
      </c>
      <c r="B223" s="8"/>
      <c r="C223" s="8"/>
      <c r="D223" s="8"/>
      <c r="E223" s="8"/>
      <c r="F223" s="8" t="str">
        <f t="shared" si="25"/>
        <v/>
      </c>
      <c r="G223" s="8" t="str">
        <f t="shared" si="26"/>
        <v/>
      </c>
      <c r="H223" s="8" t="str">
        <f t="shared" si="27"/>
        <v/>
      </c>
      <c r="I223" s="8"/>
      <c r="J223" s="8" t="str">
        <f t="shared" si="28"/>
        <v/>
      </c>
      <c r="K223" s="8"/>
      <c r="L223" s="8"/>
      <c r="M223" s="7" t="str">
        <f t="shared" si="29"/>
        <v/>
      </c>
      <c r="N223" s="7" t="str">
        <f t="shared" si="30"/>
        <v/>
      </c>
      <c r="O223" s="7" t="str">
        <f t="shared" si="31"/>
        <v/>
      </c>
      <c r="P223" s="8"/>
      <c r="Q223" s="8"/>
    </row>
    <row r="224" spans="1:17" ht="16" customHeight="1" x14ac:dyDescent="0.2">
      <c r="A224" s="7" t="str">
        <f t="shared" si="24"/>
        <v/>
      </c>
      <c r="B224" s="8"/>
      <c r="C224" s="8"/>
      <c r="D224" s="8"/>
      <c r="E224" s="8"/>
      <c r="F224" s="8" t="str">
        <f t="shared" si="25"/>
        <v/>
      </c>
      <c r="G224" s="8" t="str">
        <f t="shared" si="26"/>
        <v/>
      </c>
      <c r="H224" s="8" t="str">
        <f t="shared" si="27"/>
        <v/>
      </c>
      <c r="I224" s="8"/>
      <c r="J224" s="8" t="str">
        <f t="shared" si="28"/>
        <v/>
      </c>
      <c r="K224" s="8"/>
      <c r="L224" s="8"/>
      <c r="M224" s="7" t="str">
        <f t="shared" si="29"/>
        <v/>
      </c>
      <c r="N224" s="7" t="str">
        <f t="shared" si="30"/>
        <v/>
      </c>
      <c r="O224" s="7" t="str">
        <f t="shared" si="31"/>
        <v/>
      </c>
      <c r="P224" s="8"/>
      <c r="Q224" s="8"/>
    </row>
    <row r="225" spans="1:17" ht="16" customHeight="1" x14ac:dyDescent="0.2">
      <c r="A225" s="7" t="str">
        <f t="shared" si="24"/>
        <v/>
      </c>
      <c r="B225" s="8"/>
      <c r="C225" s="8"/>
      <c r="D225" s="8"/>
      <c r="E225" s="8"/>
      <c r="F225" s="8" t="str">
        <f t="shared" si="25"/>
        <v/>
      </c>
      <c r="G225" s="8" t="str">
        <f t="shared" si="26"/>
        <v/>
      </c>
      <c r="H225" s="8" t="str">
        <f t="shared" si="27"/>
        <v/>
      </c>
      <c r="I225" s="8"/>
      <c r="J225" s="8" t="str">
        <f t="shared" si="28"/>
        <v/>
      </c>
      <c r="K225" s="8"/>
      <c r="L225" s="8"/>
      <c r="M225" s="7" t="str">
        <f t="shared" si="29"/>
        <v/>
      </c>
      <c r="N225" s="7" t="str">
        <f t="shared" si="30"/>
        <v/>
      </c>
      <c r="O225" s="7" t="str">
        <f t="shared" si="31"/>
        <v/>
      </c>
      <c r="P225" s="8"/>
      <c r="Q225" s="8"/>
    </row>
    <row r="226" spans="1:17" ht="16" customHeight="1" x14ac:dyDescent="0.2">
      <c r="A226" s="7" t="str">
        <f t="shared" si="24"/>
        <v/>
      </c>
      <c r="B226" s="8"/>
      <c r="C226" s="8"/>
      <c r="D226" s="8"/>
      <c r="E226" s="8"/>
      <c r="F226" s="8" t="str">
        <f t="shared" si="25"/>
        <v/>
      </c>
      <c r="G226" s="8" t="str">
        <f t="shared" si="26"/>
        <v/>
      </c>
      <c r="H226" s="8" t="str">
        <f t="shared" si="27"/>
        <v/>
      </c>
      <c r="I226" s="8"/>
      <c r="J226" s="8" t="str">
        <f t="shared" si="28"/>
        <v/>
      </c>
      <c r="K226" s="8"/>
      <c r="L226" s="8"/>
      <c r="M226" s="7" t="str">
        <f t="shared" si="29"/>
        <v/>
      </c>
      <c r="N226" s="7" t="str">
        <f t="shared" si="30"/>
        <v/>
      </c>
      <c r="O226" s="7" t="str">
        <f t="shared" si="31"/>
        <v/>
      </c>
      <c r="P226" s="8"/>
      <c r="Q226" s="8"/>
    </row>
    <row r="227" spans="1:17" ht="16" customHeight="1" x14ac:dyDescent="0.2">
      <c r="A227" s="7" t="str">
        <f t="shared" si="24"/>
        <v/>
      </c>
      <c r="B227" s="8"/>
      <c r="C227" s="8"/>
      <c r="D227" s="8"/>
      <c r="E227" s="8"/>
      <c r="F227" s="8" t="str">
        <f t="shared" si="25"/>
        <v/>
      </c>
      <c r="G227" s="8" t="str">
        <f t="shared" si="26"/>
        <v/>
      </c>
      <c r="H227" s="8" t="str">
        <f t="shared" si="27"/>
        <v/>
      </c>
      <c r="I227" s="8"/>
      <c r="J227" s="8" t="str">
        <f t="shared" si="28"/>
        <v/>
      </c>
      <c r="K227" s="8"/>
      <c r="L227" s="8"/>
      <c r="M227" s="7" t="str">
        <f t="shared" si="29"/>
        <v/>
      </c>
      <c r="N227" s="7" t="str">
        <f t="shared" si="30"/>
        <v/>
      </c>
      <c r="O227" s="7" t="str">
        <f t="shared" si="31"/>
        <v/>
      </c>
      <c r="P227" s="8"/>
      <c r="Q227" s="8"/>
    </row>
    <row r="228" spans="1:17" ht="16" customHeight="1" x14ac:dyDescent="0.2">
      <c r="A228" s="7" t="str">
        <f t="shared" si="24"/>
        <v/>
      </c>
      <c r="B228" s="8"/>
      <c r="C228" s="8"/>
      <c r="D228" s="8"/>
      <c r="E228" s="8"/>
      <c r="F228" s="8" t="str">
        <f t="shared" si="25"/>
        <v/>
      </c>
      <c r="G228" s="8" t="str">
        <f t="shared" si="26"/>
        <v/>
      </c>
      <c r="H228" s="8" t="str">
        <f t="shared" si="27"/>
        <v/>
      </c>
      <c r="I228" s="8"/>
      <c r="J228" s="8" t="str">
        <f t="shared" si="28"/>
        <v/>
      </c>
      <c r="K228" s="8"/>
      <c r="L228" s="8"/>
      <c r="M228" s="7" t="str">
        <f t="shared" si="29"/>
        <v/>
      </c>
      <c r="N228" s="7" t="str">
        <f t="shared" si="30"/>
        <v/>
      </c>
      <c r="O228" s="7" t="str">
        <f t="shared" si="31"/>
        <v/>
      </c>
      <c r="P228" s="8"/>
      <c r="Q228" s="8"/>
    </row>
    <row r="229" spans="1:17" ht="16" customHeight="1" x14ac:dyDescent="0.2">
      <c r="A229" s="7" t="str">
        <f t="shared" si="24"/>
        <v/>
      </c>
      <c r="B229" s="8"/>
      <c r="C229" s="8"/>
      <c r="D229" s="8"/>
      <c r="E229" s="8"/>
      <c r="F229" s="8" t="str">
        <f t="shared" si="25"/>
        <v/>
      </c>
      <c r="G229" s="8" t="str">
        <f t="shared" si="26"/>
        <v/>
      </c>
      <c r="H229" s="8" t="str">
        <f t="shared" si="27"/>
        <v/>
      </c>
      <c r="I229" s="8"/>
      <c r="J229" s="8" t="str">
        <f t="shared" si="28"/>
        <v/>
      </c>
      <c r="K229" s="8"/>
      <c r="L229" s="8"/>
      <c r="M229" s="7" t="str">
        <f t="shared" si="29"/>
        <v/>
      </c>
      <c r="N229" s="7" t="str">
        <f t="shared" si="30"/>
        <v/>
      </c>
      <c r="O229" s="7" t="str">
        <f t="shared" si="31"/>
        <v/>
      </c>
      <c r="P229" s="8"/>
      <c r="Q229" s="8"/>
    </row>
    <row r="230" spans="1:17" ht="16" customHeight="1" x14ac:dyDescent="0.2">
      <c r="A230" s="7" t="str">
        <f t="shared" si="24"/>
        <v/>
      </c>
      <c r="B230" s="8"/>
      <c r="C230" s="8"/>
      <c r="D230" s="8"/>
      <c r="E230" s="8"/>
      <c r="F230" s="8" t="str">
        <f t="shared" si="25"/>
        <v/>
      </c>
      <c r="G230" s="8" t="str">
        <f t="shared" si="26"/>
        <v/>
      </c>
      <c r="H230" s="8" t="str">
        <f t="shared" si="27"/>
        <v/>
      </c>
      <c r="I230" s="8"/>
      <c r="J230" s="8" t="str">
        <f t="shared" si="28"/>
        <v/>
      </c>
      <c r="K230" s="8"/>
      <c r="L230" s="8"/>
      <c r="M230" s="7" t="str">
        <f t="shared" si="29"/>
        <v/>
      </c>
      <c r="N230" s="7" t="str">
        <f t="shared" si="30"/>
        <v/>
      </c>
      <c r="O230" s="7" t="str">
        <f t="shared" si="31"/>
        <v/>
      </c>
      <c r="P230" s="8"/>
      <c r="Q230" s="8"/>
    </row>
    <row r="231" spans="1:17" ht="16" customHeight="1" x14ac:dyDescent="0.2">
      <c r="A231" s="7" t="str">
        <f t="shared" si="24"/>
        <v/>
      </c>
      <c r="B231" s="8"/>
      <c r="C231" s="8"/>
      <c r="D231" s="8"/>
      <c r="E231" s="8"/>
      <c r="F231" s="8" t="str">
        <f t="shared" si="25"/>
        <v/>
      </c>
      <c r="G231" s="8" t="str">
        <f t="shared" si="26"/>
        <v/>
      </c>
      <c r="H231" s="8" t="str">
        <f t="shared" si="27"/>
        <v/>
      </c>
      <c r="I231" s="8"/>
      <c r="J231" s="8" t="str">
        <f t="shared" si="28"/>
        <v/>
      </c>
      <c r="K231" s="8"/>
      <c r="L231" s="8"/>
      <c r="M231" s="7" t="str">
        <f t="shared" si="29"/>
        <v/>
      </c>
      <c r="N231" s="7" t="str">
        <f t="shared" si="30"/>
        <v/>
      </c>
      <c r="O231" s="7" t="str">
        <f t="shared" si="31"/>
        <v/>
      </c>
      <c r="P231" s="8"/>
      <c r="Q231" s="8"/>
    </row>
    <row r="232" spans="1:17" ht="16" customHeight="1" x14ac:dyDescent="0.2">
      <c r="A232" s="7" t="str">
        <f t="shared" si="24"/>
        <v/>
      </c>
      <c r="B232" s="8"/>
      <c r="C232" s="8"/>
      <c r="D232" s="8"/>
      <c r="E232" s="8"/>
      <c r="F232" s="8" t="str">
        <f t="shared" si="25"/>
        <v/>
      </c>
      <c r="G232" s="8" t="str">
        <f t="shared" si="26"/>
        <v/>
      </c>
      <c r="H232" s="8" t="str">
        <f t="shared" si="27"/>
        <v/>
      </c>
      <c r="I232" s="8"/>
      <c r="J232" s="8" t="str">
        <f t="shared" si="28"/>
        <v/>
      </c>
      <c r="K232" s="8"/>
      <c r="L232" s="8"/>
      <c r="M232" s="7" t="str">
        <f t="shared" si="29"/>
        <v/>
      </c>
      <c r="N232" s="7" t="str">
        <f t="shared" si="30"/>
        <v/>
      </c>
      <c r="O232" s="7" t="str">
        <f t="shared" si="31"/>
        <v/>
      </c>
      <c r="P232" s="8"/>
      <c r="Q232" s="8"/>
    </row>
    <row r="233" spans="1:17" ht="16" customHeight="1" x14ac:dyDescent="0.2">
      <c r="A233" s="7" t="str">
        <f t="shared" si="24"/>
        <v/>
      </c>
      <c r="B233" s="8"/>
      <c r="C233" s="8"/>
      <c r="D233" s="8"/>
      <c r="E233" s="8"/>
      <c r="F233" s="8" t="str">
        <f t="shared" si="25"/>
        <v/>
      </c>
      <c r="G233" s="8" t="str">
        <f t="shared" si="26"/>
        <v/>
      </c>
      <c r="H233" s="8" t="str">
        <f t="shared" si="27"/>
        <v/>
      </c>
      <c r="I233" s="8"/>
      <c r="J233" s="8" t="str">
        <f t="shared" si="28"/>
        <v/>
      </c>
      <c r="K233" s="8"/>
      <c r="L233" s="8"/>
      <c r="M233" s="7" t="str">
        <f t="shared" si="29"/>
        <v/>
      </c>
      <c r="N233" s="7" t="str">
        <f t="shared" si="30"/>
        <v/>
      </c>
      <c r="O233" s="7" t="str">
        <f t="shared" si="31"/>
        <v/>
      </c>
      <c r="P233" s="8"/>
      <c r="Q233" s="8"/>
    </row>
    <row r="234" spans="1:17" ht="16" customHeight="1" x14ac:dyDescent="0.2">
      <c r="A234" s="7" t="str">
        <f t="shared" si="24"/>
        <v/>
      </c>
      <c r="B234" s="8"/>
      <c r="C234" s="8"/>
      <c r="D234" s="8"/>
      <c r="E234" s="8"/>
      <c r="F234" s="8" t="str">
        <f t="shared" si="25"/>
        <v/>
      </c>
      <c r="G234" s="8" t="str">
        <f t="shared" si="26"/>
        <v/>
      </c>
      <c r="H234" s="8" t="str">
        <f t="shared" si="27"/>
        <v/>
      </c>
      <c r="I234" s="8"/>
      <c r="J234" s="8" t="str">
        <f t="shared" si="28"/>
        <v/>
      </c>
      <c r="K234" s="8"/>
      <c r="L234" s="8"/>
      <c r="M234" s="7" t="str">
        <f t="shared" si="29"/>
        <v/>
      </c>
      <c r="N234" s="7" t="str">
        <f t="shared" si="30"/>
        <v/>
      </c>
      <c r="O234" s="7" t="str">
        <f t="shared" si="31"/>
        <v/>
      </c>
      <c r="P234" s="8"/>
      <c r="Q234" s="8"/>
    </row>
    <row r="235" spans="1:17" ht="16" customHeight="1" x14ac:dyDescent="0.2">
      <c r="A235" s="7" t="str">
        <f t="shared" si="24"/>
        <v/>
      </c>
      <c r="B235" s="8"/>
      <c r="C235" s="8"/>
      <c r="D235" s="8"/>
      <c r="E235" s="8"/>
      <c r="F235" s="8" t="str">
        <f t="shared" si="25"/>
        <v/>
      </c>
      <c r="G235" s="8" t="str">
        <f t="shared" si="26"/>
        <v/>
      </c>
      <c r="H235" s="8" t="str">
        <f t="shared" si="27"/>
        <v/>
      </c>
      <c r="I235" s="8"/>
      <c r="J235" s="8" t="str">
        <f t="shared" si="28"/>
        <v/>
      </c>
      <c r="K235" s="8"/>
      <c r="L235" s="8"/>
      <c r="M235" s="7" t="str">
        <f t="shared" si="29"/>
        <v/>
      </c>
      <c r="N235" s="7" t="str">
        <f t="shared" si="30"/>
        <v/>
      </c>
      <c r="O235" s="7" t="str">
        <f t="shared" si="31"/>
        <v/>
      </c>
      <c r="P235" s="8"/>
      <c r="Q235" s="8"/>
    </row>
    <row r="236" spans="1:17" ht="16" customHeight="1" x14ac:dyDescent="0.2">
      <c r="A236" s="7" t="str">
        <f t="shared" si="24"/>
        <v/>
      </c>
      <c r="B236" s="8"/>
      <c r="C236" s="8"/>
      <c r="D236" s="8"/>
      <c r="E236" s="8"/>
      <c r="F236" s="8" t="str">
        <f t="shared" si="25"/>
        <v/>
      </c>
      <c r="G236" s="8" t="str">
        <f t="shared" si="26"/>
        <v/>
      </c>
      <c r="H236" s="8" t="str">
        <f t="shared" si="27"/>
        <v/>
      </c>
      <c r="I236" s="8"/>
      <c r="J236" s="8" t="str">
        <f t="shared" si="28"/>
        <v/>
      </c>
      <c r="K236" s="8"/>
      <c r="L236" s="8"/>
      <c r="M236" s="7" t="str">
        <f t="shared" si="29"/>
        <v/>
      </c>
      <c r="N236" s="7" t="str">
        <f t="shared" si="30"/>
        <v/>
      </c>
      <c r="O236" s="7" t="str">
        <f t="shared" si="31"/>
        <v/>
      </c>
      <c r="P236" s="8"/>
      <c r="Q236" s="8"/>
    </row>
    <row r="237" spans="1:17" ht="16" customHeight="1" x14ac:dyDescent="0.2">
      <c r="A237" s="7" t="str">
        <f t="shared" si="24"/>
        <v/>
      </c>
      <c r="B237" s="8"/>
      <c r="C237" s="8"/>
      <c r="D237" s="8"/>
      <c r="E237" s="8"/>
      <c r="F237" s="8" t="str">
        <f t="shared" si="25"/>
        <v/>
      </c>
      <c r="G237" s="8" t="str">
        <f t="shared" si="26"/>
        <v/>
      </c>
      <c r="H237" s="8" t="str">
        <f t="shared" si="27"/>
        <v/>
      </c>
      <c r="I237" s="8"/>
      <c r="J237" s="8" t="str">
        <f t="shared" si="28"/>
        <v/>
      </c>
      <c r="K237" s="8"/>
      <c r="L237" s="8"/>
      <c r="M237" s="7" t="str">
        <f t="shared" si="29"/>
        <v/>
      </c>
      <c r="N237" s="7" t="str">
        <f t="shared" si="30"/>
        <v/>
      </c>
      <c r="O237" s="7" t="str">
        <f t="shared" si="31"/>
        <v/>
      </c>
      <c r="P237" s="8"/>
      <c r="Q237" s="8"/>
    </row>
    <row r="238" spans="1:17" ht="16" customHeight="1" x14ac:dyDescent="0.2">
      <c r="A238" s="7" t="str">
        <f t="shared" si="24"/>
        <v/>
      </c>
      <c r="B238" s="8"/>
      <c r="C238" s="8"/>
      <c r="D238" s="8"/>
      <c r="E238" s="8"/>
      <c r="F238" s="8" t="str">
        <f t="shared" si="25"/>
        <v/>
      </c>
      <c r="G238" s="8" t="str">
        <f t="shared" si="26"/>
        <v/>
      </c>
      <c r="H238" s="8" t="str">
        <f t="shared" si="27"/>
        <v/>
      </c>
      <c r="I238" s="8"/>
      <c r="J238" s="8" t="str">
        <f t="shared" si="28"/>
        <v/>
      </c>
      <c r="K238" s="8"/>
      <c r="L238" s="8"/>
      <c r="M238" s="7" t="str">
        <f t="shared" si="29"/>
        <v/>
      </c>
      <c r="N238" s="7" t="str">
        <f t="shared" si="30"/>
        <v/>
      </c>
      <c r="O238" s="7" t="str">
        <f t="shared" si="31"/>
        <v/>
      </c>
      <c r="P238" s="8"/>
      <c r="Q238" s="8"/>
    </row>
    <row r="239" spans="1:17" ht="16" customHeight="1" x14ac:dyDescent="0.2">
      <c r="A239" s="7" t="str">
        <f t="shared" si="24"/>
        <v/>
      </c>
      <c r="B239" s="8"/>
      <c r="C239" s="8"/>
      <c r="D239" s="8"/>
      <c r="E239" s="8"/>
      <c r="F239" s="8" t="str">
        <f t="shared" si="25"/>
        <v/>
      </c>
      <c r="G239" s="8" t="str">
        <f t="shared" si="26"/>
        <v/>
      </c>
      <c r="H239" s="8" t="str">
        <f t="shared" si="27"/>
        <v/>
      </c>
      <c r="I239" s="8"/>
      <c r="J239" s="8" t="str">
        <f t="shared" si="28"/>
        <v/>
      </c>
      <c r="K239" s="8"/>
      <c r="L239" s="8"/>
      <c r="M239" s="7" t="str">
        <f t="shared" si="29"/>
        <v/>
      </c>
      <c r="N239" s="7" t="str">
        <f t="shared" si="30"/>
        <v/>
      </c>
      <c r="O239" s="7" t="str">
        <f t="shared" si="31"/>
        <v/>
      </c>
      <c r="P239" s="8"/>
      <c r="Q239" s="8"/>
    </row>
    <row r="240" spans="1:17" ht="16" customHeight="1" x14ac:dyDescent="0.2">
      <c r="A240" s="7" t="str">
        <f t="shared" si="24"/>
        <v/>
      </c>
      <c r="B240" s="8"/>
      <c r="C240" s="8"/>
      <c r="D240" s="8"/>
      <c r="E240" s="8"/>
      <c r="F240" s="8" t="str">
        <f t="shared" si="25"/>
        <v/>
      </c>
      <c r="G240" s="8" t="str">
        <f t="shared" si="26"/>
        <v/>
      </c>
      <c r="H240" s="8" t="str">
        <f t="shared" si="27"/>
        <v/>
      </c>
      <c r="I240" s="8"/>
      <c r="J240" s="8" t="str">
        <f t="shared" si="28"/>
        <v/>
      </c>
      <c r="K240" s="8"/>
      <c r="L240" s="8"/>
      <c r="M240" s="7" t="str">
        <f t="shared" si="29"/>
        <v/>
      </c>
      <c r="N240" s="7" t="str">
        <f t="shared" si="30"/>
        <v/>
      </c>
      <c r="O240" s="7" t="str">
        <f t="shared" si="31"/>
        <v/>
      </c>
      <c r="P240" s="8"/>
      <c r="Q240" s="8"/>
    </row>
    <row r="241" spans="1:17" ht="16" customHeight="1" x14ac:dyDescent="0.2">
      <c r="A241" s="7" t="str">
        <f t="shared" si="24"/>
        <v/>
      </c>
      <c r="B241" s="8"/>
      <c r="C241" s="8"/>
      <c r="D241" s="8"/>
      <c r="E241" s="8"/>
      <c r="F241" s="8" t="str">
        <f t="shared" si="25"/>
        <v/>
      </c>
      <c r="G241" s="8" t="str">
        <f t="shared" si="26"/>
        <v/>
      </c>
      <c r="H241" s="8" t="str">
        <f t="shared" si="27"/>
        <v/>
      </c>
      <c r="I241" s="8"/>
      <c r="J241" s="8" t="str">
        <f t="shared" si="28"/>
        <v/>
      </c>
      <c r="K241" s="8"/>
      <c r="L241" s="8"/>
      <c r="M241" s="7" t="str">
        <f t="shared" si="29"/>
        <v/>
      </c>
      <c r="N241" s="7" t="str">
        <f t="shared" si="30"/>
        <v/>
      </c>
      <c r="O241" s="7" t="str">
        <f t="shared" si="31"/>
        <v/>
      </c>
      <c r="P241" s="8"/>
      <c r="Q241" s="8"/>
    </row>
    <row r="242" spans="1:17" ht="16" customHeight="1" x14ac:dyDescent="0.2">
      <c r="A242" s="7" t="str">
        <f t="shared" si="24"/>
        <v/>
      </c>
      <c r="B242" s="8"/>
      <c r="C242" s="8"/>
      <c r="D242" s="8"/>
      <c r="E242" s="8"/>
      <c r="F242" s="8" t="str">
        <f t="shared" si="25"/>
        <v/>
      </c>
      <c r="G242" s="8" t="str">
        <f t="shared" si="26"/>
        <v/>
      </c>
      <c r="H242" s="8" t="str">
        <f t="shared" si="27"/>
        <v/>
      </c>
      <c r="I242" s="8"/>
      <c r="J242" s="8" t="str">
        <f t="shared" si="28"/>
        <v/>
      </c>
      <c r="K242" s="8"/>
      <c r="L242" s="8"/>
      <c r="M242" s="7" t="str">
        <f t="shared" si="29"/>
        <v/>
      </c>
      <c r="N242" s="7" t="str">
        <f t="shared" si="30"/>
        <v/>
      </c>
      <c r="O242" s="7" t="str">
        <f t="shared" si="31"/>
        <v/>
      </c>
      <c r="P242" s="8"/>
      <c r="Q242" s="8"/>
    </row>
    <row r="243" spans="1:17" ht="16" customHeight="1" x14ac:dyDescent="0.2">
      <c r="A243" s="7" t="str">
        <f t="shared" si="24"/>
        <v/>
      </c>
      <c r="B243" s="8"/>
      <c r="C243" s="8"/>
      <c r="D243" s="8"/>
      <c r="E243" s="8"/>
      <c r="F243" s="8" t="str">
        <f t="shared" si="25"/>
        <v/>
      </c>
      <c r="G243" s="8" t="str">
        <f t="shared" si="26"/>
        <v/>
      </c>
      <c r="H243" s="8" t="str">
        <f t="shared" si="27"/>
        <v/>
      </c>
      <c r="I243" s="8"/>
      <c r="J243" s="8" t="str">
        <f t="shared" si="28"/>
        <v/>
      </c>
      <c r="K243" s="8"/>
      <c r="L243" s="8"/>
      <c r="M243" s="7" t="str">
        <f t="shared" si="29"/>
        <v/>
      </c>
      <c r="N243" s="7" t="str">
        <f t="shared" si="30"/>
        <v/>
      </c>
      <c r="O243" s="7" t="str">
        <f t="shared" si="31"/>
        <v/>
      </c>
      <c r="P243" s="8"/>
      <c r="Q243" s="8"/>
    </row>
    <row r="244" spans="1:17" ht="16" customHeight="1" x14ac:dyDescent="0.2">
      <c r="A244" s="7" t="str">
        <f t="shared" si="24"/>
        <v/>
      </c>
      <c r="B244" s="8"/>
      <c r="C244" s="8"/>
      <c r="D244" s="8"/>
      <c r="E244" s="8"/>
      <c r="F244" s="8" t="str">
        <f t="shared" si="25"/>
        <v/>
      </c>
      <c r="G244" s="8" t="str">
        <f t="shared" si="26"/>
        <v/>
      </c>
      <c r="H244" s="8" t="str">
        <f t="shared" si="27"/>
        <v/>
      </c>
      <c r="I244" s="8"/>
      <c r="J244" s="8" t="str">
        <f t="shared" si="28"/>
        <v/>
      </c>
      <c r="K244" s="8"/>
      <c r="L244" s="8"/>
      <c r="M244" s="7" t="str">
        <f t="shared" si="29"/>
        <v/>
      </c>
      <c r="N244" s="7" t="str">
        <f t="shared" si="30"/>
        <v/>
      </c>
      <c r="O244" s="7" t="str">
        <f t="shared" si="31"/>
        <v/>
      </c>
      <c r="P244" s="8"/>
      <c r="Q244" s="8"/>
    </row>
    <row r="245" spans="1:17" ht="16" customHeight="1" x14ac:dyDescent="0.2">
      <c r="A245" s="7" t="str">
        <f t="shared" si="24"/>
        <v/>
      </c>
      <c r="B245" s="8"/>
      <c r="C245" s="8"/>
      <c r="D245" s="8"/>
      <c r="E245" s="8"/>
      <c r="F245" s="8" t="str">
        <f t="shared" si="25"/>
        <v/>
      </c>
      <c r="G245" s="8" t="str">
        <f t="shared" si="26"/>
        <v/>
      </c>
      <c r="H245" s="8" t="str">
        <f t="shared" si="27"/>
        <v/>
      </c>
      <c r="I245" s="8"/>
      <c r="J245" s="8" t="str">
        <f t="shared" si="28"/>
        <v/>
      </c>
      <c r="K245" s="8"/>
      <c r="L245" s="8"/>
      <c r="M245" s="7" t="str">
        <f t="shared" si="29"/>
        <v/>
      </c>
      <c r="N245" s="7" t="str">
        <f t="shared" si="30"/>
        <v/>
      </c>
      <c r="O245" s="7" t="str">
        <f t="shared" si="31"/>
        <v/>
      </c>
      <c r="P245" s="8"/>
      <c r="Q245" s="8"/>
    </row>
    <row r="246" spans="1:17" ht="16" customHeight="1" x14ac:dyDescent="0.2">
      <c r="A246" s="7" t="str">
        <f t="shared" si="24"/>
        <v/>
      </c>
      <c r="B246" s="8"/>
      <c r="C246" s="8"/>
      <c r="D246" s="8"/>
      <c r="E246" s="8"/>
      <c r="F246" s="8" t="str">
        <f t="shared" si="25"/>
        <v/>
      </c>
      <c r="G246" s="8" t="str">
        <f t="shared" si="26"/>
        <v/>
      </c>
      <c r="H246" s="8" t="str">
        <f t="shared" si="27"/>
        <v/>
      </c>
      <c r="I246" s="8"/>
      <c r="J246" s="8" t="str">
        <f t="shared" si="28"/>
        <v/>
      </c>
      <c r="K246" s="8"/>
      <c r="L246" s="8"/>
      <c r="M246" s="7" t="str">
        <f t="shared" si="29"/>
        <v/>
      </c>
      <c r="N246" s="7" t="str">
        <f t="shared" si="30"/>
        <v/>
      </c>
      <c r="O246" s="7" t="str">
        <f t="shared" si="31"/>
        <v/>
      </c>
      <c r="P246" s="8"/>
      <c r="Q246" s="8"/>
    </row>
    <row r="247" spans="1:17" ht="16" customHeight="1" x14ac:dyDescent="0.2">
      <c r="A247" s="7" t="str">
        <f t="shared" si="24"/>
        <v/>
      </c>
      <c r="B247" s="8"/>
      <c r="C247" s="8"/>
      <c r="D247" s="8"/>
      <c r="E247" s="8"/>
      <c r="F247" s="8" t="str">
        <f t="shared" si="25"/>
        <v/>
      </c>
      <c r="G247" s="8" t="str">
        <f t="shared" si="26"/>
        <v/>
      </c>
      <c r="H247" s="8" t="str">
        <f t="shared" si="27"/>
        <v/>
      </c>
      <c r="I247" s="8"/>
      <c r="J247" s="8" t="str">
        <f t="shared" si="28"/>
        <v/>
      </c>
      <c r="K247" s="8"/>
      <c r="L247" s="8"/>
      <c r="M247" s="7" t="str">
        <f t="shared" si="29"/>
        <v/>
      </c>
      <c r="N247" s="7" t="str">
        <f t="shared" si="30"/>
        <v/>
      </c>
      <c r="O247" s="7" t="str">
        <f t="shared" si="31"/>
        <v/>
      </c>
      <c r="P247" s="8"/>
      <c r="Q247" s="8"/>
    </row>
    <row r="248" spans="1:17" ht="16" customHeight="1" x14ac:dyDescent="0.2">
      <c r="A248" s="7" t="str">
        <f t="shared" si="24"/>
        <v/>
      </c>
      <c r="B248" s="8"/>
      <c r="C248" s="8"/>
      <c r="D248" s="8"/>
      <c r="E248" s="8"/>
      <c r="F248" s="8" t="str">
        <f t="shared" si="25"/>
        <v/>
      </c>
      <c r="G248" s="8" t="str">
        <f t="shared" si="26"/>
        <v/>
      </c>
      <c r="H248" s="8" t="str">
        <f t="shared" si="27"/>
        <v/>
      </c>
      <c r="I248" s="8"/>
      <c r="J248" s="8" t="str">
        <f t="shared" si="28"/>
        <v/>
      </c>
      <c r="K248" s="8"/>
      <c r="L248" s="8"/>
      <c r="M248" s="7" t="str">
        <f t="shared" si="29"/>
        <v/>
      </c>
      <c r="N248" s="7" t="str">
        <f t="shared" si="30"/>
        <v/>
      </c>
      <c r="O248" s="7" t="str">
        <f t="shared" si="31"/>
        <v/>
      </c>
      <c r="P248" s="8"/>
      <c r="Q248" s="8"/>
    </row>
  </sheetData>
  <phoneticPr fontId="6" type="noConversion"/>
  <dataValidations count="2">
    <dataValidation type="list" sqref="E2:E248" xr:uid="{00000000-0002-0000-0000-000000000000}">
      <formula1>image_roles</formula1>
    </dataValidation>
    <dataValidation type="list" sqref="P2:P248" xr:uid="{00000000-0002-0000-0000-000001000000}">
      <formula1>status_list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9"/>
  <sheetViews>
    <sheetView showGridLines="0" topLeftCell="A9" workbookViewId="0">
      <selection activeCell="G16" sqref="G16"/>
    </sheetView>
  </sheetViews>
  <sheetFormatPr baseColWidth="10" defaultColWidth="8.83203125" defaultRowHeight="15" x14ac:dyDescent="0.2"/>
  <cols>
    <col min="1" max="1" width="8" customWidth="1"/>
    <col min="2" max="2" width="24" customWidth="1"/>
    <col min="3" max="3" width="18" customWidth="1"/>
    <col min="4" max="4" width="28" customWidth="1"/>
  </cols>
  <sheetData>
    <row r="1" spans="1:4" ht="24" customHeight="1" x14ac:dyDescent="0.2">
      <c r="A1" s="10" t="s">
        <v>239</v>
      </c>
      <c r="B1" s="11"/>
      <c r="C1" s="11"/>
      <c r="D1" s="11"/>
    </row>
    <row r="3" spans="1:4" ht="48" customHeight="1" x14ac:dyDescent="0.2">
      <c r="A3" s="2" t="s">
        <v>240</v>
      </c>
      <c r="B3" s="3" t="s">
        <v>241</v>
      </c>
    </row>
    <row r="4" spans="1:4" ht="64" customHeight="1" x14ac:dyDescent="0.2">
      <c r="A4" s="2" t="s">
        <v>242</v>
      </c>
      <c r="B4" s="3" t="s">
        <v>243</v>
      </c>
    </row>
    <row r="5" spans="1:4" ht="48" customHeight="1" x14ac:dyDescent="0.2">
      <c r="A5" s="2" t="s">
        <v>244</v>
      </c>
      <c r="B5" s="3" t="s">
        <v>245</v>
      </c>
    </row>
    <row r="6" spans="1:4" ht="48" customHeight="1" x14ac:dyDescent="0.2">
      <c r="A6" s="2" t="s">
        <v>246</v>
      </c>
      <c r="B6" s="4" t="s">
        <v>247</v>
      </c>
    </row>
    <row r="7" spans="1:4" ht="112" customHeight="1" x14ac:dyDescent="0.2">
      <c r="A7" s="2" t="s">
        <v>248</v>
      </c>
      <c r="B7" s="4" t="s">
        <v>249</v>
      </c>
    </row>
    <row r="8" spans="1:4" ht="48" customHeight="1" x14ac:dyDescent="0.2">
      <c r="A8" s="2" t="s">
        <v>250</v>
      </c>
      <c r="B8" s="4" t="s">
        <v>251</v>
      </c>
    </row>
    <row r="9" spans="1:4" ht="48" customHeight="1" x14ac:dyDescent="0.2">
      <c r="A9" s="2" t="s">
        <v>252</v>
      </c>
      <c r="B9" s="4" t="s">
        <v>253</v>
      </c>
    </row>
    <row r="10" spans="1:4" ht="64" customHeight="1" x14ac:dyDescent="0.2">
      <c r="A10" s="2" t="s">
        <v>254</v>
      </c>
      <c r="B10" s="4" t="s">
        <v>255</v>
      </c>
    </row>
    <row r="13" spans="1:4" ht="16" customHeight="1" x14ac:dyDescent="0.2">
      <c r="A13" s="5" t="s">
        <v>256</v>
      </c>
      <c r="B13" s="5" t="s">
        <v>257</v>
      </c>
      <c r="C13" s="5" t="s">
        <v>258</v>
      </c>
      <c r="D13" s="5" t="s">
        <v>259</v>
      </c>
    </row>
    <row r="14" spans="1:4" ht="16" customHeight="1" x14ac:dyDescent="0.2">
      <c r="A14" s="6" t="s">
        <v>0</v>
      </c>
      <c r="B14" s="6" t="s">
        <v>260</v>
      </c>
      <c r="C14" s="6" t="s">
        <v>261</v>
      </c>
      <c r="D14" s="6" t="s">
        <v>262</v>
      </c>
    </row>
    <row r="15" spans="1:4" ht="16" customHeight="1" x14ac:dyDescent="0.2">
      <c r="A15" s="6" t="s">
        <v>1</v>
      </c>
      <c r="B15" s="6" t="s">
        <v>263</v>
      </c>
      <c r="C15" s="6" t="s">
        <v>264</v>
      </c>
      <c r="D15" s="6"/>
    </row>
    <row r="16" spans="1:4" ht="16" customHeight="1" x14ac:dyDescent="0.2">
      <c r="A16" s="6" t="s">
        <v>3</v>
      </c>
      <c r="B16" s="6" t="s">
        <v>265</v>
      </c>
      <c r="C16" s="6" t="s">
        <v>266</v>
      </c>
      <c r="D16" s="6" t="s">
        <v>267</v>
      </c>
    </row>
    <row r="17" spans="1:4" ht="32" customHeight="1" x14ac:dyDescent="0.2">
      <c r="A17" s="6" t="s">
        <v>4</v>
      </c>
      <c r="B17" s="6" t="s">
        <v>268</v>
      </c>
      <c r="C17" s="6" t="s">
        <v>269</v>
      </c>
      <c r="D17" s="6" t="s">
        <v>270</v>
      </c>
    </row>
    <row r="18" spans="1:4" ht="32" customHeight="1" x14ac:dyDescent="0.2">
      <c r="A18" s="6" t="s">
        <v>5</v>
      </c>
      <c r="B18" s="6" t="s">
        <v>271</v>
      </c>
      <c r="C18" s="6" t="s">
        <v>266</v>
      </c>
      <c r="D18" s="6"/>
    </row>
    <row r="19" spans="1:4" ht="32" customHeight="1" x14ac:dyDescent="0.2">
      <c r="A19" s="6" t="s">
        <v>6</v>
      </c>
      <c r="B19" s="6" t="s">
        <v>272</v>
      </c>
      <c r="C19" s="6" t="s">
        <v>266</v>
      </c>
      <c r="D19" s="6" t="s">
        <v>273</v>
      </c>
    </row>
    <row r="20" spans="1:4" ht="32" customHeight="1" x14ac:dyDescent="0.2">
      <c r="A20" s="6" t="s">
        <v>7</v>
      </c>
      <c r="B20" s="6" t="s">
        <v>274</v>
      </c>
      <c r="C20" s="6" t="s">
        <v>266</v>
      </c>
      <c r="D20" s="6"/>
    </row>
    <row r="21" spans="1:4" ht="32" customHeight="1" x14ac:dyDescent="0.2">
      <c r="A21" s="6" t="s">
        <v>8</v>
      </c>
      <c r="B21" s="6" t="s">
        <v>275</v>
      </c>
      <c r="C21" s="6" t="s">
        <v>266</v>
      </c>
      <c r="D21" s="6" t="s">
        <v>276</v>
      </c>
    </row>
    <row r="22" spans="1:4" ht="16" customHeight="1" x14ac:dyDescent="0.2">
      <c r="A22" s="6" t="s">
        <v>9</v>
      </c>
      <c r="B22" s="6" t="s">
        <v>277</v>
      </c>
      <c r="C22" s="6" t="s">
        <v>266</v>
      </c>
      <c r="D22" s="6"/>
    </row>
    <row r="23" spans="1:4" ht="16" customHeight="1" x14ac:dyDescent="0.2">
      <c r="A23" s="6" t="s">
        <v>10</v>
      </c>
      <c r="B23" s="6" t="s">
        <v>278</v>
      </c>
      <c r="C23" s="6" t="s">
        <v>279</v>
      </c>
      <c r="D23" s="6" t="s">
        <v>280</v>
      </c>
    </row>
    <row r="24" spans="1:4" ht="16" customHeight="1" x14ac:dyDescent="0.2">
      <c r="A24" s="6" t="s">
        <v>11</v>
      </c>
      <c r="B24" s="6" t="s">
        <v>281</v>
      </c>
      <c r="C24" s="6" t="s">
        <v>279</v>
      </c>
      <c r="D24" s="6" t="s">
        <v>280</v>
      </c>
    </row>
    <row r="25" spans="1:4" ht="16" customHeight="1" x14ac:dyDescent="0.2">
      <c r="A25" s="6" t="s">
        <v>12</v>
      </c>
      <c r="B25" s="6" t="s">
        <v>282</v>
      </c>
      <c r="C25" s="6" t="s">
        <v>261</v>
      </c>
      <c r="D25" s="6" t="s">
        <v>283</v>
      </c>
    </row>
    <row r="26" spans="1:4" ht="32" customHeight="1" x14ac:dyDescent="0.2">
      <c r="A26" s="6" t="s">
        <v>13</v>
      </c>
      <c r="B26" s="6" t="s">
        <v>284</v>
      </c>
      <c r="C26" s="6" t="s">
        <v>261</v>
      </c>
      <c r="D26" s="6"/>
    </row>
    <row r="27" spans="1:4" ht="32" customHeight="1" x14ac:dyDescent="0.2">
      <c r="A27" s="6" t="s">
        <v>14</v>
      </c>
      <c r="B27" s="6" t="s">
        <v>285</v>
      </c>
      <c r="C27" s="6" t="s">
        <v>261</v>
      </c>
      <c r="D27" s="6"/>
    </row>
    <row r="28" spans="1:4" ht="16" customHeight="1" x14ac:dyDescent="0.2">
      <c r="A28" s="6" t="s">
        <v>15</v>
      </c>
      <c r="B28" s="6" t="s">
        <v>286</v>
      </c>
      <c r="C28" s="6" t="s">
        <v>269</v>
      </c>
      <c r="D28" s="6"/>
    </row>
    <row r="29" spans="1:4" ht="16" customHeight="1" x14ac:dyDescent="0.2">
      <c r="A29" s="6" t="s">
        <v>16</v>
      </c>
      <c r="B29" s="6" t="s">
        <v>259</v>
      </c>
      <c r="C29" s="6" t="s">
        <v>266</v>
      </c>
      <c r="D29" s="6"/>
    </row>
  </sheetData>
  <mergeCells count="1">
    <mergeCell ref="A1:D1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images_master</vt:lpstr>
      <vt:lpstr>填写说明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薄　鋒</cp:lastModifiedBy>
  <dcterms:created xsi:type="dcterms:W3CDTF">2026-04-19T10:39:57Z</dcterms:created>
  <dcterms:modified xsi:type="dcterms:W3CDTF">2026-04-19T12:00:07Z</dcterms:modified>
</cp:coreProperties>
</file>